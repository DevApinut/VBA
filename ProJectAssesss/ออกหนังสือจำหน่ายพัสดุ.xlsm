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VBA_VSCODE\ProJectAssesss\"/>
    </mc:Choice>
  </mc:AlternateContent>
  <xr:revisionPtr revIDLastSave="0" documentId="13_ncr:1_{EC175AD7-3D2B-40DB-8259-8582F9E71FF1}" xr6:coauthVersionLast="47" xr6:coauthVersionMax="47" xr10:uidLastSave="{00000000-0000-0000-0000-000000000000}"/>
  <bookViews>
    <workbookView xWindow="-19320" yWindow="-120" windowWidth="19440" windowHeight="13920" activeTab="1" xr2:uid="{00000000-000D-0000-FFFF-FFFF00000000}"/>
  </bookViews>
  <sheets>
    <sheet name="Dropdown" sheetId="188" r:id="rId1"/>
    <sheet name="List" sheetId="1" r:id="rId2"/>
    <sheet name="List14" sheetId="638" r:id="rId3"/>
    <sheet name="List13" sheetId="637" r:id="rId4"/>
    <sheet name="List12" sheetId="636" r:id="rId5"/>
    <sheet name="List10" sheetId="635" r:id="rId6"/>
    <sheet name="List9" sheetId="634" r:id="rId7"/>
    <sheet name="List11" sheetId="633" r:id="rId8"/>
    <sheet name="List7" sheetId="632" r:id="rId9"/>
    <sheet name="List8" sheetId="631" r:id="rId10"/>
    <sheet name="List5" sheetId="630" r:id="rId11"/>
    <sheet name="List6" sheetId="629" r:id="rId12"/>
    <sheet name="List4" sheetId="628" r:id="rId13"/>
    <sheet name="List3" sheetId="627" r:id="rId14"/>
    <sheet name="List2" sheetId="626" r:id="rId15"/>
    <sheet name="List1" sheetId="625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625" l="1"/>
  <c r="D7" i="625"/>
  <c r="D6" i="626"/>
  <c r="D5" i="626"/>
  <c r="D9" i="627"/>
  <c r="D8" i="627"/>
  <c r="D7" i="628"/>
  <c r="D6" i="628"/>
  <c r="D8" i="629"/>
  <c r="D7" i="629"/>
  <c r="D7" i="630"/>
  <c r="D6" i="630"/>
  <c r="D7" i="631"/>
  <c r="D6" i="631"/>
  <c r="D7" i="632"/>
  <c r="D6" i="632"/>
  <c r="D7" i="633"/>
  <c r="D6" i="633"/>
  <c r="D6" i="634"/>
  <c r="D5" i="634"/>
  <c r="D6" i="635"/>
  <c r="D5" i="635"/>
  <c r="D7" i="636"/>
  <c r="D6" i="636"/>
  <c r="D7" i="637"/>
  <c r="D6" i="637"/>
  <c r="D6" i="638"/>
  <c r="D5" i="638"/>
  <c r="J1" i="1"/>
  <c r="L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Apinut Kaewmunee</author>
  </authors>
  <commentList>
    <comment ref="B1" authorId="0" shapeId="0" xr:uid="{8C7D7F3A-9FF9-4796-A415-862AE7E1F793}">
      <text>
        <r>
          <rPr>
            <b/>
            <sz val="9"/>
            <color indexed="81"/>
            <rFont val="Tahoma"/>
            <family val="2"/>
          </rPr>
          <t>ประเภทธุรกิจ</t>
        </r>
      </text>
    </comment>
    <comment ref="C1" authorId="0" shapeId="0" xr:uid="{A17037EC-DD73-4721-89E6-0609307626AA}">
      <text>
        <r>
          <rPr>
            <b/>
            <sz val="9"/>
            <color indexed="81"/>
            <rFont val="Tahoma"/>
            <family val="2"/>
          </rPr>
          <t>สินทรัพย์</t>
        </r>
      </text>
    </comment>
    <comment ref="D1" authorId="0" shapeId="0" xr:uid="{8DF76A6A-A6FF-4E4B-B9F5-A4228F052550}">
      <text>
        <r>
          <rPr>
            <b/>
            <sz val="9"/>
            <color indexed="81"/>
            <rFont val="Tahoma"/>
            <family val="2"/>
          </rPr>
          <t>คำอธิบาย</t>
        </r>
      </text>
    </comment>
    <comment ref="E1" authorId="0" shapeId="0" xr:uid="{BC3CDD67-8219-43BE-B87C-A7536A951B83}">
      <text>
        <r>
          <rPr>
            <b/>
            <sz val="9"/>
            <color indexed="81"/>
            <rFont val="Tahoma"/>
            <family val="2"/>
          </rPr>
          <t>วันที่โอนเป็นทุน</t>
        </r>
      </text>
    </comment>
    <comment ref="F1" authorId="0" shapeId="0" xr:uid="{EF05D9C7-75E4-49A0-B0A6-6CF36F3376C1}">
      <text>
        <r>
          <rPr>
            <b/>
            <sz val="9"/>
            <color indexed="81"/>
            <rFont val="Tahoma"/>
            <family val="2"/>
          </rPr>
          <t>มูลค่าการได้มา</t>
        </r>
      </text>
    </comment>
    <comment ref="G1" authorId="0" shapeId="0" xr:uid="{D11C99C1-7EC6-4B51-A565-72EE5E749EA7}">
      <text>
        <r>
          <rPr>
            <b/>
            <sz val="9"/>
            <color indexed="81"/>
            <rFont val="Tahoma"/>
            <family val="2"/>
          </rPr>
          <t>ค่าเสื่อมสะสม</t>
        </r>
      </text>
    </comment>
    <comment ref="H1" authorId="0" shapeId="0" xr:uid="{7B85B258-B7A9-4563-990A-ACB5EDED1245}">
      <text>
        <r>
          <rPr>
            <b/>
            <sz val="9"/>
            <color indexed="81"/>
            <rFont val="Tahoma"/>
            <family val="2"/>
          </rPr>
          <t>มูลค่าตามบัญชี</t>
        </r>
      </text>
    </comment>
  </commentList>
</comments>
</file>

<file path=xl/sharedStrings.xml><?xml version="1.0" encoding="utf-8"?>
<sst xmlns="http://schemas.openxmlformats.org/spreadsheetml/2006/main" count="787" uniqueCount="395">
  <si>
    <t>ประเภทธุรกิจ</t>
  </si>
  <si>
    <t>สินทรัพย์</t>
  </si>
  <si>
    <t>คำอธิบาย</t>
  </si>
  <si>
    <t>วันที่โอนเป็นทุน</t>
  </si>
  <si>
    <t>มูลค่าการได้มา</t>
  </si>
  <si>
    <t>ค่าเสื่อมสะสม</t>
  </si>
  <si>
    <t>มูลค่าตามบัญชี</t>
  </si>
  <si>
    <t>J000</t>
  </si>
  <si>
    <t>550252856</t>
  </si>
  <si>
    <t>ปากกาจับเหล็ก  ขนาด 8 นิ้ว</t>
  </si>
  <si>
    <t>532184532</t>
  </si>
  <si>
    <t>Leser A4  Fuji Xerox รุ่น Docuprint P355d บ.33/60</t>
  </si>
  <si>
    <t>532223002</t>
  </si>
  <si>
    <t>Notebook Lenovo YOGA 940 iil</t>
  </si>
  <si>
    <t>532223003</t>
  </si>
  <si>
    <t>Laser Color Printer brother</t>
  </si>
  <si>
    <t>550411804</t>
  </si>
  <si>
    <t>Vacuum Interrupter 60kV DC</t>
  </si>
  <si>
    <t>550268365</t>
  </si>
  <si>
    <t>เครื่อง Primary Current Injection Tst Set</t>
  </si>
  <si>
    <t>550269780</t>
  </si>
  <si>
    <t>ประแจปอนด์</t>
  </si>
  <si>
    <t>550269781</t>
  </si>
  <si>
    <t>ประแจปอนด์  20-150 ฟุต</t>
  </si>
  <si>
    <t>550269782</t>
  </si>
  <si>
    <t>คีมย้ำหางปลาเปลือยหัวตัวยู</t>
  </si>
  <si>
    <t>550285486</t>
  </si>
  <si>
    <t>เครื่องเจียร์ไฟฟ้ามือถือ 4 แบบไร้สาย</t>
  </si>
  <si>
    <t>550296219</t>
  </si>
  <si>
    <t>ประแจบ๊อก สฟฟ.นอ.รบ.</t>
  </si>
  <si>
    <t>550296220</t>
  </si>
  <si>
    <t>532217781</t>
  </si>
  <si>
    <t>Notebook Lenovo x 1 cabon 7 th</t>
  </si>
  <si>
    <t>550301016</t>
  </si>
  <si>
    <t>Intemal impedance battery tester</t>
  </si>
  <si>
    <t>550329953</t>
  </si>
  <si>
    <t>เครื่องเจาะแท่นไฟฟ้า ผบฟ.กบษ</t>
  </si>
  <si>
    <t>550329955</t>
  </si>
  <si>
    <t>เครื่องจ่ายแรงดันกระแสตรง</t>
  </si>
  <si>
    <t>550356303</t>
  </si>
  <si>
    <t>คีมย้ำหางปลาไฮดรอลิก 10-120Sq.mm.พร้อมอุปกรณ์</t>
  </si>
  <si>
    <t>550356311</t>
  </si>
  <si>
    <t>สว่านโรตารี่ไฟฟ้าหรือแบตเตอรี่</t>
  </si>
  <si>
    <t>550359096</t>
  </si>
  <si>
    <t>เครื่องวัดความต้านทานฉนวน 15KV DC</t>
  </si>
  <si>
    <t>550360794</t>
  </si>
  <si>
    <t>คัทเตอร์ตัดสายเฟืองทดสลักสปิง</t>
  </si>
  <si>
    <t>550361619</t>
  </si>
  <si>
    <t>leakage current clamp meter</t>
  </si>
  <si>
    <t>550361630</t>
  </si>
  <si>
    <t>Battery</t>
  </si>
  <si>
    <t>550404688</t>
  </si>
  <si>
    <t>CURRENT TRANSFORMER ANALYZER</t>
  </si>
  <si>
    <t>550407830</t>
  </si>
  <si>
    <t>Insulation Resistance Tester 5 Kv Model:MIT1525</t>
  </si>
  <si>
    <t>550308175</t>
  </si>
  <si>
    <t>DC POWER SUPPLY "GWINSTEK"</t>
  </si>
  <si>
    <t>550269793</t>
  </si>
  <si>
    <t>ชุดเพาเวอร์มิเอตร์ รุ่น 6305 w/accessory</t>
  </si>
  <si>
    <t>550269778</t>
  </si>
  <si>
    <t>เครื่องเป่าลม MAKITA</t>
  </si>
  <si>
    <t>550269779</t>
  </si>
  <si>
    <t>Clamp On Leakage Current Meter</t>
  </si>
  <si>
    <t>550274797</t>
  </si>
  <si>
    <t>เครื่องวัดความถ่วงจำเพาะของของเหลว</t>
  </si>
  <si>
    <t>550282710</t>
  </si>
  <si>
    <t>Digltal lnfrared Thermometer</t>
  </si>
  <si>
    <t>550285979</t>
  </si>
  <si>
    <t>ไม้ชักฟิวส์ 3ท่อน</t>
  </si>
  <si>
    <t>532210268</t>
  </si>
  <si>
    <t>CPU    บ.23/2563</t>
  </si>
  <si>
    <t>MONITOR บ.23/2563</t>
  </si>
  <si>
    <t>550319295</t>
  </si>
  <si>
    <t>Circuit Breaker Analyzer</t>
  </si>
  <si>
    <t>550356305</t>
  </si>
  <si>
    <t>สว่านไขควงไร้สาย 18 โวลต์</t>
  </si>
  <si>
    <t>550356307</t>
  </si>
  <si>
    <t>เครื่องเจียรไฟฟ้าหรือแบตเตอรี่</t>
  </si>
  <si>
    <t>550358337</t>
  </si>
  <si>
    <t>เครื่องวัดความต้านทานดินชนิด 4 แท่ง</t>
  </si>
  <si>
    <t>550358656</t>
  </si>
  <si>
    <t>PORTABLE VACUUM INTERRUPTER TESTER 6</t>
  </si>
  <si>
    <t>550361051</t>
  </si>
  <si>
    <t>เครื่องตรวจวัดการรั่วไหลก๊าศSF6</t>
  </si>
  <si>
    <t>550361616</t>
  </si>
  <si>
    <t>เหล็กส่ง07180010,07180012</t>
  </si>
  <si>
    <t>550361622</t>
  </si>
  <si>
    <t>ประแจขันท่อ18นิ้ว</t>
  </si>
  <si>
    <t>550362468</t>
  </si>
  <si>
    <t>MULTIFUNCTION PRIMARY TEST SYSTEM WI</t>
  </si>
  <si>
    <t>550407826</t>
  </si>
  <si>
    <t>Insulation Resistance Tester 15 Kv Model:MIT1525</t>
  </si>
  <si>
    <t>550410841</t>
  </si>
  <si>
    <t>primary current injection test</t>
  </si>
  <si>
    <t>550233051</t>
  </si>
  <si>
    <t>Digital Earth Resistance</t>
  </si>
  <si>
    <t>550241724</t>
  </si>
  <si>
    <t>Digtal Earth Ressistance Tester "WEGGER"</t>
  </si>
  <si>
    <t>550250318</t>
  </si>
  <si>
    <t>Digital Multimeter</t>
  </si>
  <si>
    <t>550250518</t>
  </si>
  <si>
    <t>ชุดเครื่องมือมาตรฐานเครื่องมือช่าง</t>
  </si>
  <si>
    <t>550279475</t>
  </si>
  <si>
    <t>Transfommer Tums Ratio Tester</t>
  </si>
  <si>
    <t>550286117</t>
  </si>
  <si>
    <t>SF6 GAS LEAK DETECTOR</t>
  </si>
  <si>
    <t>550286398</t>
  </si>
  <si>
    <t>GAS SF6  GAS LEAK DETECTOR</t>
  </si>
  <si>
    <t>532202079</t>
  </si>
  <si>
    <t>CPU DELL บ.17/2562</t>
  </si>
  <si>
    <t>MONITOR  บ.17/2562</t>
  </si>
  <si>
    <t>550302766</t>
  </si>
  <si>
    <t>ชุดเครื่องมือช่าง</t>
  </si>
  <si>
    <t>550306482</t>
  </si>
  <si>
    <t>550304757</t>
  </si>
  <si>
    <t>Micro ohm Meter</t>
  </si>
  <si>
    <t>550309288</t>
  </si>
  <si>
    <t>Multfunction Primary Test System CPC</t>
  </si>
  <si>
    <t>550314996</t>
  </si>
  <si>
    <t>เครื่องมือตรวจสอบ Switchgear 22-33 kv</t>
  </si>
  <si>
    <t>550314997</t>
  </si>
  <si>
    <t>550314998</t>
  </si>
  <si>
    <t>550314999</t>
  </si>
  <si>
    <t>550315000</t>
  </si>
  <si>
    <t>550315001</t>
  </si>
  <si>
    <t>550315002</t>
  </si>
  <si>
    <t>550315003</t>
  </si>
  <si>
    <t>550361049</t>
  </si>
  <si>
    <t>VOLTAGE TRANSFORMER ANALYZER</t>
  </si>
  <si>
    <t>550361612</t>
  </si>
  <si>
    <t>เครื่องพิมพ์ปลอกสายไฟและฉลาก</t>
  </si>
  <si>
    <t>550361623</t>
  </si>
  <si>
    <t>คีมย้ำหางปลา</t>
  </si>
  <si>
    <t>550361631</t>
  </si>
  <si>
    <t>550381809</t>
  </si>
  <si>
    <t>Primary Current Injection Test Set</t>
  </si>
  <si>
    <t>550404691</t>
  </si>
  <si>
    <t>เครื่องมือวัดระยะ FLUKE 424D</t>
  </si>
  <si>
    <t>532247291</t>
  </si>
  <si>
    <t>Notebook ยี่ห้อ HP รุ่น Probook 6470b</t>
  </si>
  <si>
    <t>550233053</t>
  </si>
  <si>
    <t>Vacuum Test</t>
  </si>
  <si>
    <t>550247815</t>
  </si>
  <si>
    <t>เครื่องปั๊มน้ำมันพร้อมสาย</t>
  </si>
  <si>
    <t>550248702</t>
  </si>
  <si>
    <t>Insulation Tester</t>
  </si>
  <si>
    <t>532171036</t>
  </si>
  <si>
    <t>Power STAR inverter  IR2000W</t>
  </si>
  <si>
    <t>550252855</t>
  </si>
  <si>
    <t>เครื่องอัดลมขนาด 80 ลิตร ใช้มอเตอร์</t>
  </si>
  <si>
    <t>550252857</t>
  </si>
  <si>
    <t>เครื่องเจาะแท่นใช้มอเตอร์ไฟฟ้า</t>
  </si>
  <si>
    <t>550252859</t>
  </si>
  <si>
    <t>เลื่อยตัดชนิดไฟฟ้า ขนาด 14 นิ้ว</t>
  </si>
  <si>
    <t>550252860</t>
  </si>
  <si>
    <t>เลื่อยฉลุไฟฟ้า</t>
  </si>
  <si>
    <t>550258317</t>
  </si>
  <si>
    <t>เครื่องวัดความต้านทานหน้าสัมผัส 200 Micro Ohm</t>
  </si>
  <si>
    <t>550265950</t>
  </si>
  <si>
    <t>เครื่องเจียรไฟฟ้าชนิดมือถือ</t>
  </si>
  <si>
    <t>550282709</t>
  </si>
  <si>
    <t>Digltal Clamp-on Meter</t>
  </si>
  <si>
    <t>550282711</t>
  </si>
  <si>
    <t>Phase Rotation Tester</t>
  </si>
  <si>
    <t>550286099</t>
  </si>
  <si>
    <t>Insulation resistane tester</t>
  </si>
  <si>
    <t>550287240</t>
  </si>
  <si>
    <t>เครื่องกำเนิดไฟฟ้า</t>
  </si>
  <si>
    <t>550292004</t>
  </si>
  <si>
    <t>AC High Voltage test</t>
  </si>
  <si>
    <t>550302767</t>
  </si>
  <si>
    <t>เลื่อยตัดโลหะชนิดไฟฟ้า MAKITA</t>
  </si>
  <si>
    <t>550303279</t>
  </si>
  <si>
    <t>เครื่องดูดตะกั่ว GOOT TP280AS</t>
  </si>
  <si>
    <t>532217782</t>
  </si>
  <si>
    <t>550303386</t>
  </si>
  <si>
    <t>Capacitnce Test Set ABBCB2000</t>
  </si>
  <si>
    <t>550310373</t>
  </si>
  <si>
    <t>Battery Load Tester</t>
  </si>
  <si>
    <t>550329954</t>
  </si>
  <si>
    <t>เครื่องทดสอบมิเตอร์ (Testing Resistor)</t>
  </si>
  <si>
    <t>550333018</t>
  </si>
  <si>
    <t>ปากกาจับเหล็กติดโต๊ะพร้อมฐานหมุน</t>
  </si>
  <si>
    <t>550356318</t>
  </si>
  <si>
    <t>ชุดหัวแร้งปรับอุณหภูมิได้</t>
  </si>
  <si>
    <t>550359095</t>
  </si>
  <si>
    <t>CAPACITANCE TEST SET</t>
  </si>
  <si>
    <t>550359445</t>
  </si>
  <si>
    <t>เครื่องวัดกระแสไฟฟ้ารั่วไหล</t>
  </si>
  <si>
    <t>550359446</t>
  </si>
  <si>
    <t>เครื่องมือวัดความถ่วงจำเพาะของแบตเตอ</t>
  </si>
  <si>
    <t>550361613</t>
  </si>
  <si>
    <t>550361614</t>
  </si>
  <si>
    <t>ดอกสว่านเจาะเหล็ก1-13มม.</t>
  </si>
  <si>
    <t>550361620</t>
  </si>
  <si>
    <t>current loop calibrator with quick knob</t>
  </si>
  <si>
    <t>550361624</t>
  </si>
  <si>
    <t>550361628</t>
  </si>
  <si>
    <t>แฮนด์ลิฟท์1ตัน Hand Pallet</t>
  </si>
  <si>
    <t>550382831</t>
  </si>
  <si>
    <t>เครื่องมือวัดระยะ (Distance Meter)</t>
  </si>
  <si>
    <t>550257226</t>
  </si>
  <si>
    <t>เครื่องเจาะคอนกรีตใช้มอเตอร์ไฟฟ้า</t>
  </si>
  <si>
    <t>550285512</t>
  </si>
  <si>
    <t>เครื่องขัดกระดาษทรายชนิดไฟฟ้า</t>
  </si>
  <si>
    <t>550285530</t>
  </si>
  <si>
    <t>สว่านไฟฟ้าชนิดหัวกระแทก  ขนาด 13 มม.</t>
  </si>
  <si>
    <t>550333019</t>
  </si>
  <si>
    <t>รอกโซ่ ขนาด 1 ตัน (ไฟฟ้า)</t>
  </si>
  <si>
    <t>550354201</t>
  </si>
  <si>
    <t>เครื่องวัดความต้านทานฉนวน ขนาด 5KV</t>
  </si>
  <si>
    <t>550356302</t>
  </si>
  <si>
    <t>550356306</t>
  </si>
  <si>
    <t>ประแจบล็อกแบตเตอรี่พร้อมด้าน</t>
  </si>
  <si>
    <t>550356310</t>
  </si>
  <si>
    <t>550358657</t>
  </si>
  <si>
    <t>AC HIGH VOLTAGE TEST SET</t>
  </si>
  <si>
    <t>550360793</t>
  </si>
  <si>
    <t>550361617</t>
  </si>
  <si>
    <t>550361618</t>
  </si>
  <si>
    <t>clamp meter with iflex</t>
  </si>
  <si>
    <t>550404689</t>
  </si>
  <si>
    <t>เครื่องเจียร์คอตรง 1/4"750w ยี่ห้อMAKITA GD0800C</t>
  </si>
  <si>
    <t>550404690</t>
  </si>
  <si>
    <t>550407831</t>
  </si>
  <si>
    <t>handheld micro-ohmmeter 220 A Model : MOM2</t>
  </si>
  <si>
    <t>550247816</t>
  </si>
  <si>
    <t>เครื่องเชื่อมไฟฟ้า 200 A</t>
  </si>
  <si>
    <t>550252858</t>
  </si>
  <si>
    <t>เครื่องเจียรชนิดไฟฟ้า ขนาด 4 นิ้ว</t>
  </si>
  <si>
    <t>550258316</t>
  </si>
  <si>
    <t>532178659</t>
  </si>
  <si>
    <t>CPU ยี่ห้อ HP รุ่น ProDesk 600 G2 MT บ.8/2560</t>
  </si>
  <si>
    <t>MONITOR  HP  ProDisplay P232 บ.8/2560</t>
  </si>
  <si>
    <t>550271719</t>
  </si>
  <si>
    <t>Digital Micro Ohm Meter</t>
  </si>
  <si>
    <t>550277664</t>
  </si>
  <si>
    <t>Capacitance Test Set  ABB CB-2000</t>
  </si>
  <si>
    <t>550282712</t>
  </si>
  <si>
    <t>ประแจวัดแรงบิดของน็อต  Torque Wrench</t>
  </si>
  <si>
    <t>532191939</t>
  </si>
  <si>
    <t>MULTIFUNCTION "RICOH" รุ่น SP230SFNw สต.069/2561</t>
  </si>
  <si>
    <t>550302765</t>
  </si>
  <si>
    <t>ประแจล็อค ขนาด 33 มม. ขึ้นไป KENNEDDY</t>
  </si>
  <si>
    <t>550302768</t>
  </si>
  <si>
    <t>ประแจแหวนข้างปากตาย ขนาด 33 KENNEDDY</t>
  </si>
  <si>
    <t>550306480</t>
  </si>
  <si>
    <t>550306483</t>
  </si>
  <si>
    <t>550304756</t>
  </si>
  <si>
    <t>Vacuum Interrupter Tester 60kv DC</t>
  </si>
  <si>
    <t>550310372</t>
  </si>
  <si>
    <t>Portable oil tester ขนาด 0-100 kv</t>
  </si>
  <si>
    <t>550356304</t>
  </si>
  <si>
    <t>550358336</t>
  </si>
  <si>
    <t>UNIVERSAL EARTH RESISTANCE TESTER</t>
  </si>
  <si>
    <t>550358653</t>
  </si>
  <si>
    <t>TRANSFORMER TURNS RATIO TESTER เครื่องวัดอัตราขดลว</t>
  </si>
  <si>
    <t>550358654</t>
  </si>
  <si>
    <t>MICRO-OHM METER 200A</t>
  </si>
  <si>
    <t>550361615</t>
  </si>
  <si>
    <t>550361621</t>
  </si>
  <si>
    <t>550361629</t>
  </si>
  <si>
    <t>เครื่องลับดอกสว่าน3-13มม.</t>
  </si>
  <si>
    <t>550361820</t>
  </si>
  <si>
    <t>INTERNAL IMPEDANCE BATTERY TESTER</t>
  </si>
  <si>
    <t>550410804</t>
  </si>
  <si>
    <t>Density Meter DMA 35 ยี่ห้อ Anton Paar</t>
  </si>
  <si>
    <t>none</t>
  </si>
  <si>
    <t>List1</t>
  </si>
  <si>
    <t>List2</t>
  </si>
  <si>
    <t>List3</t>
  </si>
  <si>
    <t>List4</t>
  </si>
  <si>
    <t>List5</t>
  </si>
  <si>
    <t>List6</t>
  </si>
  <si>
    <t>List7</t>
  </si>
  <si>
    <t>List8</t>
  </si>
  <si>
    <t>List9</t>
  </si>
  <si>
    <t>List10</t>
  </si>
  <si>
    <t>List11</t>
  </si>
  <si>
    <t>List12</t>
  </si>
  <si>
    <t>List13</t>
  </si>
  <si>
    <t>List14</t>
  </si>
  <si>
    <t>List15</t>
  </si>
  <si>
    <t>List16</t>
  </si>
  <si>
    <t>List17</t>
  </si>
  <si>
    <t>List18</t>
  </si>
  <si>
    <t>List19</t>
  </si>
  <si>
    <t>List20</t>
  </si>
  <si>
    <t>List21</t>
  </si>
  <si>
    <t>List22</t>
  </si>
  <si>
    <t>List23</t>
  </si>
  <si>
    <t>List24</t>
  </si>
  <si>
    <t>List25</t>
  </si>
  <si>
    <t>List26</t>
  </si>
  <si>
    <t>List27</t>
  </si>
  <si>
    <t>List28</t>
  </si>
  <si>
    <t>List29</t>
  </si>
  <si>
    <t>List30</t>
  </si>
  <si>
    <t>List31</t>
  </si>
  <si>
    <t>List32</t>
  </si>
  <si>
    <t>List33</t>
  </si>
  <si>
    <t>List34</t>
  </si>
  <si>
    <t>List35</t>
  </si>
  <si>
    <t>List36</t>
  </si>
  <si>
    <t>List37</t>
  </si>
  <si>
    <t>List38</t>
  </si>
  <si>
    <t>List39</t>
  </si>
  <si>
    <t>List40</t>
  </si>
  <si>
    <t>List41</t>
  </si>
  <si>
    <t>List42</t>
  </si>
  <si>
    <t>List43</t>
  </si>
  <si>
    <t>List44</t>
  </si>
  <si>
    <t>List45</t>
  </si>
  <si>
    <t>List46</t>
  </si>
  <si>
    <t>List47</t>
  </si>
  <si>
    <t>List48</t>
  </si>
  <si>
    <t>List49</t>
  </si>
  <si>
    <t>List50</t>
  </si>
  <si>
    <t>List51</t>
  </si>
  <si>
    <t>List52</t>
  </si>
  <si>
    <t>List53</t>
  </si>
  <si>
    <t>List54</t>
  </si>
  <si>
    <t>List55</t>
  </si>
  <si>
    <t>List56</t>
  </si>
  <si>
    <t>List57</t>
  </si>
  <si>
    <t>List58</t>
  </si>
  <si>
    <t>List59</t>
  </si>
  <si>
    <t>List60</t>
  </si>
  <si>
    <t>List61</t>
  </si>
  <si>
    <t>List62</t>
  </si>
  <si>
    <t>List63</t>
  </si>
  <si>
    <t>List64</t>
  </si>
  <si>
    <t>List65</t>
  </si>
  <si>
    <t>List66</t>
  </si>
  <si>
    <t>List67</t>
  </si>
  <si>
    <t>List68</t>
  </si>
  <si>
    <t>List69</t>
  </si>
  <si>
    <t>List70</t>
  </si>
  <si>
    <t>List71</t>
  </si>
  <si>
    <t>List72</t>
  </si>
  <si>
    <t>List73</t>
  </si>
  <si>
    <t>List74</t>
  </si>
  <si>
    <t>List75</t>
  </si>
  <si>
    <t>List76</t>
  </si>
  <si>
    <t>List77</t>
  </si>
  <si>
    <t>List78</t>
  </si>
  <si>
    <t>List79</t>
  </si>
  <si>
    <t>List80</t>
  </si>
  <si>
    <t>List81</t>
  </si>
  <si>
    <t>List82</t>
  </si>
  <si>
    <t>List83</t>
  </si>
  <si>
    <t>List84</t>
  </si>
  <si>
    <t>List85</t>
  </si>
  <si>
    <t>List86</t>
  </si>
  <si>
    <t>List87</t>
  </si>
  <si>
    <t>List88</t>
  </si>
  <si>
    <t>List89</t>
  </si>
  <si>
    <t>List90</t>
  </si>
  <si>
    <t>List91</t>
  </si>
  <si>
    <t>List92</t>
  </si>
  <si>
    <t>List93</t>
  </si>
  <si>
    <t>List94</t>
  </si>
  <si>
    <t>List95</t>
  </si>
  <si>
    <t>List96</t>
  </si>
  <si>
    <t>List97</t>
  </si>
  <si>
    <t>List98</t>
  </si>
  <si>
    <t>List99</t>
  </si>
  <si>
    <t>List100</t>
  </si>
  <si>
    <t>ที่</t>
  </si>
  <si>
    <t>รหัสสินทรัพย์</t>
  </si>
  <si>
    <t>รายการ</t>
  </si>
  <si>
    <t>ราคาซื้อหรือได้มา (บาท)</t>
  </si>
  <si>
    <t>วันที่ได้มา</t>
  </si>
  <si>
    <t>มูลค่าคงเหลือ (บาท)</t>
  </si>
  <si>
    <t>532247282</t>
  </si>
  <si>
    <t>CPU "ACER" รุ่น VERITON M4620 G สต.024/2556</t>
  </si>
  <si>
    <t>Monitor</t>
  </si>
  <si>
    <t>532247290</t>
  </si>
  <si>
    <t>NOTEBOOK computer lenovo</t>
  </si>
  <si>
    <t>532166811</t>
  </si>
  <si>
    <t>CPU  ACER บ.16/2559</t>
  </si>
  <si>
    <t>MONITOR   ACER บ.16/2559</t>
  </si>
  <si>
    <t>532167104</t>
  </si>
  <si>
    <t>532215429</t>
  </si>
  <si>
    <t>Notebook ยี่ห้อASUS บ.50/2563</t>
  </si>
  <si>
    <t>532230832</t>
  </si>
  <si>
    <t>Notebook MSI GS66</t>
  </si>
  <si>
    <t>532246668</t>
  </si>
  <si>
    <t>Notebook Asus ROG Flow Z13</t>
  </si>
  <si>
    <t>532246669</t>
  </si>
  <si>
    <t>550403554</t>
  </si>
  <si>
    <t>Circuit Breaker Analyzer TM1760 S/N:2300899</t>
  </si>
  <si>
    <t>E:\VBA_VSCODE\ProJectAssesss\Template จำหน่ายโดยการขาย.docx</t>
  </si>
  <si>
    <t>E:\VBA_VSCODE\ProJectAssesss\</t>
  </si>
  <si>
    <t>รวมราคาซื้อมาหรือได้มา (บาท)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</si>
</sst>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yy"/>
    <numFmt numFmtId="165" formatCode="[$-D07041E]#"/>
    <numFmt numFmtId="166" formatCode="[$-D07041E]#,###,##0.00\-"/>
    <numFmt numFmtId="167" formatCode="[$-D07041E]#.00\-"/>
    <numFmt numFmtId="168" formatCode="[$-D07041E]d\ mmmm\ yyyy;@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4"/>
      <color theme="1"/>
      <name val="TH SarabunIT๙"/>
      <family val="2"/>
    </font>
    <font>
      <b/>
      <sz val="14"/>
      <color theme="1"/>
      <name val="TH SarabunIT๙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TH Sarabun Ne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39" fontId="0" fillId="0" borderId="0" xfId="0" applyNumberFormat="1"/>
    <xf numFmtId="0" fontId="0" fillId="0" borderId="9" xfId="0" applyBorder="1"/>
    <xf numFmtId="0" fontId="5" fillId="0" borderId="9" xfId="0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166" fontId="5" fillId="0" borderId="9" xfId="0" applyNumberFormat="1" applyFont="1" applyBorder="1" applyAlignment="1">
      <alignment horizontal="center" vertical="center"/>
    </xf>
    <xf numFmtId="168" fontId="5" fillId="0" borderId="9" xfId="0" applyNumberFormat="1" applyFont="1" applyBorder="1" applyAlignment="1">
      <alignment horizontal="center" vertical="center"/>
    </xf>
    <xf numFmtId="167" fontId="5" fillId="0" borderId="9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 wrapText="1"/>
    </xf>
    <xf numFmtId="166" fontId="4" fillId="0" borderId="9" xfId="0" applyNumberFormat="1" applyFont="1" applyBorder="1" applyAlignment="1">
      <alignment horizontal="center" vertical="center"/>
    </xf>
    <xf numFmtId="168" fontId="4" fillId="0" borderId="9" xfId="0" applyNumberFormat="1" applyFont="1" applyBorder="1" applyAlignment="1">
      <alignment horizontal="center" vertical="center"/>
    </xf>
    <xf numFmtId="167" fontId="4" fillId="0" borderId="9" xfId="0" applyNumberFormat="1" applyFont="1" applyBorder="1" applyAlignment="1">
      <alignment horizontal="center" vertical="center"/>
    </xf>
    <xf numFmtId="166" fontId="4" fillId="0" borderId="9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49" fontId="1" fillId="0" borderId="3" xfId="0" applyNumberFormat="1" applyFont="1" applyBorder="1"/>
    <xf numFmtId="49" fontId="1" fillId="0" borderId="4" xfId="0" applyNumberFormat="1" applyFont="1" applyBorder="1"/>
    <xf numFmtId="164" fontId="1" fillId="0" borderId="2" xfId="0" applyNumberFormat="1" applyFont="1" applyBorder="1" applyAlignment="1">
      <alignment horizontal="left"/>
    </xf>
    <xf numFmtId="4" fontId="1" fillId="0" borderId="5" xfId="0" applyNumberFormat="1" applyFont="1" applyBorder="1"/>
    <xf numFmtId="4" fontId="1" fillId="0" borderId="3" xfId="0" applyNumberFormat="1" applyFont="1" applyBorder="1"/>
    <xf numFmtId="0" fontId="1" fillId="0" borderId="3" xfId="0" applyFont="1" applyBorder="1"/>
    <xf numFmtId="49" fontId="1" fillId="0" borderId="1" xfId="0" applyNumberFormat="1" applyFont="1" applyBorder="1"/>
    <xf numFmtId="49" fontId="1" fillId="0" borderId="6" xfId="0" applyNumberFormat="1" applyFont="1" applyBorder="1"/>
    <xf numFmtId="164" fontId="1" fillId="0" borderId="8" xfId="0" applyNumberFormat="1" applyFont="1" applyBorder="1" applyAlignment="1">
      <alignment horizontal="left"/>
    </xf>
    <xf numFmtId="4" fontId="1" fillId="0" borderId="7" xfId="0" applyNumberFormat="1" applyFont="1" applyBorder="1"/>
    <xf numFmtId="4" fontId="1" fillId="0" borderId="1" xfId="0" applyNumberFormat="1" applyFont="1" applyBorder="1"/>
    <xf numFmtId="0" fontId="1" fillId="0" borderId="7" xfId="0" applyFont="1" applyBorder="1"/>
    <xf numFmtId="164" fontId="1" fillId="0" borderId="3" xfId="0" applyNumberFormat="1" applyFont="1" applyBorder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/>
  </cellXfs>
  <cellStyles count="1">
    <cellStyle name="Normal" xfId="0" builtinId="0"/>
  </cellStyles>
  <dxfs count="6"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78120</xdr:colOff>
      <xdr:row>0</xdr:row>
      <xdr:rowOff>57630</xdr:rowOff>
    </xdr:from>
    <xdr:to>
      <xdr:col>13</xdr:col>
      <xdr:colOff>141941</xdr:colOff>
      <xdr:row>0</xdr:row>
      <xdr:rowOff>343647</xdr:rowOff>
    </xdr:to>
    <xdr:sp macro="[0]!Upselect2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81197A4-DAF1-91B3-DDCB-2D2282F044A9}"/>
            </a:ext>
          </a:extLst>
        </xdr:cNvPr>
        <xdr:cNvSpPr/>
      </xdr:nvSpPr>
      <xdr:spPr>
        <a:xfrm>
          <a:off x="10835767" y="57630"/>
          <a:ext cx="676409" cy="286017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spera</a:t>
          </a:r>
          <a:r>
            <a:rPr lang="en-US" sz="1100" baseline="0"/>
            <a:t>te</a:t>
          </a:r>
          <a:endParaRPr lang="en-US" sz="1100"/>
        </a:p>
      </xdr:txBody>
    </xdr:sp>
    <xdr:clientData/>
  </xdr:twoCellAnchor>
  <xdr:twoCellAnchor>
    <xdr:from>
      <xdr:col>13</xdr:col>
      <xdr:colOff>410884</xdr:colOff>
      <xdr:row>0</xdr:row>
      <xdr:rowOff>67235</xdr:rowOff>
    </xdr:from>
    <xdr:to>
      <xdr:col>14</xdr:col>
      <xdr:colOff>418353</xdr:colOff>
      <xdr:row>0</xdr:row>
      <xdr:rowOff>343648</xdr:rowOff>
    </xdr:to>
    <xdr:sp macro="[0]!Macro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6E630A-1A9F-F3CC-BE91-2CD749E56FFC}"/>
            </a:ext>
          </a:extLst>
        </xdr:cNvPr>
        <xdr:cNvSpPr/>
      </xdr:nvSpPr>
      <xdr:spPr>
        <a:xfrm>
          <a:off x="11781119" y="67235"/>
          <a:ext cx="620058" cy="276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Word</a:t>
          </a:r>
        </a:p>
      </xdr:txBody>
    </xdr:sp>
    <xdr:clientData/>
  </xdr:twoCellAnchor>
  <xdr:twoCellAnchor>
    <xdr:from>
      <xdr:col>9</xdr:col>
      <xdr:colOff>104588</xdr:colOff>
      <xdr:row>2</xdr:row>
      <xdr:rowOff>44824</xdr:rowOff>
    </xdr:from>
    <xdr:to>
      <xdr:col>10</xdr:col>
      <xdr:colOff>508000</xdr:colOff>
      <xdr:row>3</xdr:row>
      <xdr:rowOff>164354</xdr:rowOff>
    </xdr:to>
    <xdr:sp macro="[0]!Select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D50BC0-ABE7-AB4B-9761-0BCD2F44B0F8}"/>
            </a:ext>
          </a:extLst>
        </xdr:cNvPr>
        <xdr:cNvSpPr/>
      </xdr:nvSpPr>
      <xdr:spPr>
        <a:xfrm>
          <a:off x="9024470" y="605118"/>
          <a:ext cx="1016001" cy="30629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>
                  <a:lumMod val="95000"/>
                </a:schemeClr>
              </a:solidFill>
            </a:rPr>
            <a:t>Templa</a:t>
          </a:r>
          <a:r>
            <a:rPr lang="en-US" sz="1100" baseline="0">
              <a:solidFill>
                <a:schemeClr val="bg1">
                  <a:lumMod val="95000"/>
                </a:schemeClr>
              </a:solidFill>
            </a:rPr>
            <a:t>te</a:t>
          </a:r>
        </a:p>
      </xdr:txBody>
    </xdr:sp>
    <xdr:clientData/>
  </xdr:twoCellAnchor>
  <xdr:twoCellAnchor>
    <xdr:from>
      <xdr:col>9</xdr:col>
      <xdr:colOff>104588</xdr:colOff>
      <xdr:row>4</xdr:row>
      <xdr:rowOff>44824</xdr:rowOff>
    </xdr:from>
    <xdr:to>
      <xdr:col>10</xdr:col>
      <xdr:colOff>508000</xdr:colOff>
      <xdr:row>5</xdr:row>
      <xdr:rowOff>164354</xdr:rowOff>
    </xdr:to>
    <xdr:sp macro="[0]!Select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05FDBBB-8256-499D-AA93-D5374A35904A}"/>
            </a:ext>
          </a:extLst>
        </xdr:cNvPr>
        <xdr:cNvSpPr/>
      </xdr:nvSpPr>
      <xdr:spPr>
        <a:xfrm>
          <a:off x="9024470" y="605118"/>
          <a:ext cx="1016001" cy="30629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>
                  <a:lumMod val="95000"/>
                </a:schemeClr>
              </a:solidFill>
            </a:rPr>
            <a:t>SaveAs</a:t>
          </a:r>
        </a:p>
      </xdr:txBody>
    </xdr:sp>
    <xdr:clientData/>
  </xdr:twoCellAnchor>
  <xdr:twoCellAnchor>
    <xdr:from>
      <xdr:col>9</xdr:col>
      <xdr:colOff>119530</xdr:colOff>
      <xdr:row>6</xdr:row>
      <xdr:rowOff>74706</xdr:rowOff>
    </xdr:from>
    <xdr:to>
      <xdr:col>10</xdr:col>
      <xdr:colOff>493058</xdr:colOff>
      <xdr:row>8</xdr:row>
      <xdr:rowOff>14942</xdr:rowOff>
    </xdr:to>
    <xdr:sp macro="[0]!replaceTex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835B60A-6ED1-D946-0BE3-F2E80DF0F4AC}"/>
            </a:ext>
          </a:extLst>
        </xdr:cNvPr>
        <xdr:cNvSpPr/>
      </xdr:nvSpPr>
      <xdr:spPr>
        <a:xfrm>
          <a:off x="9039412" y="1382059"/>
          <a:ext cx="986117" cy="3137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C9BEB-DAFF-46C6-898E-40A7555EBF55}">
  <sheetPr codeName="Sheet188"/>
  <dimension ref="A1:A101"/>
  <sheetViews>
    <sheetView workbookViewId="0">
      <selection activeCell="C12" sqref="C12"/>
    </sheetView>
  </sheetViews>
  <sheetFormatPr defaultRowHeight="14.5" x14ac:dyDescent="0.35"/>
  <sheetData>
    <row r="1" spans="1:1" x14ac:dyDescent="0.35">
      <c r="A1" t="s">
        <v>267</v>
      </c>
    </row>
    <row r="2" spans="1:1" x14ac:dyDescent="0.35">
      <c r="A2" t="s">
        <v>268</v>
      </c>
    </row>
    <row r="3" spans="1:1" x14ac:dyDescent="0.35">
      <c r="A3" t="s">
        <v>269</v>
      </c>
    </row>
    <row r="4" spans="1:1" x14ac:dyDescent="0.35">
      <c r="A4" t="s">
        <v>270</v>
      </c>
    </row>
    <row r="5" spans="1:1" x14ac:dyDescent="0.35">
      <c r="A5" t="s">
        <v>271</v>
      </c>
    </row>
    <row r="6" spans="1:1" x14ac:dyDescent="0.35">
      <c r="A6" t="s">
        <v>272</v>
      </c>
    </row>
    <row r="7" spans="1:1" x14ac:dyDescent="0.35">
      <c r="A7" t="s">
        <v>273</v>
      </c>
    </row>
    <row r="8" spans="1:1" x14ac:dyDescent="0.35">
      <c r="A8" t="s">
        <v>274</v>
      </c>
    </row>
    <row r="9" spans="1:1" x14ac:dyDescent="0.35">
      <c r="A9" t="s">
        <v>275</v>
      </c>
    </row>
    <row r="10" spans="1:1" x14ac:dyDescent="0.35">
      <c r="A10" t="s">
        <v>276</v>
      </c>
    </row>
    <row r="11" spans="1:1" x14ac:dyDescent="0.35">
      <c r="A11" t="s">
        <v>277</v>
      </c>
    </row>
    <row r="12" spans="1:1" x14ac:dyDescent="0.35">
      <c r="A12" t="s">
        <v>278</v>
      </c>
    </row>
    <row r="13" spans="1:1" x14ac:dyDescent="0.35">
      <c r="A13" t="s">
        <v>279</v>
      </c>
    </row>
    <row r="14" spans="1:1" x14ac:dyDescent="0.35">
      <c r="A14" t="s">
        <v>280</v>
      </c>
    </row>
    <row r="15" spans="1:1" x14ac:dyDescent="0.35">
      <c r="A15" t="s">
        <v>281</v>
      </c>
    </row>
    <row r="16" spans="1:1" x14ac:dyDescent="0.35">
      <c r="A16" t="s">
        <v>282</v>
      </c>
    </row>
    <row r="17" spans="1:1" x14ac:dyDescent="0.35">
      <c r="A17" t="s">
        <v>283</v>
      </c>
    </row>
    <row r="18" spans="1:1" x14ac:dyDescent="0.35">
      <c r="A18" t="s">
        <v>284</v>
      </c>
    </row>
    <row r="19" spans="1:1" x14ac:dyDescent="0.35">
      <c r="A19" t="s">
        <v>285</v>
      </c>
    </row>
    <row r="20" spans="1:1" x14ac:dyDescent="0.35">
      <c r="A20" t="s">
        <v>286</v>
      </c>
    </row>
    <row r="21" spans="1:1" x14ac:dyDescent="0.35">
      <c r="A21" t="s">
        <v>287</v>
      </c>
    </row>
    <row r="22" spans="1:1" x14ac:dyDescent="0.35">
      <c r="A22" t="s">
        <v>288</v>
      </c>
    </row>
    <row r="23" spans="1:1" x14ac:dyDescent="0.35">
      <c r="A23" t="s">
        <v>289</v>
      </c>
    </row>
    <row r="24" spans="1:1" x14ac:dyDescent="0.35">
      <c r="A24" t="s">
        <v>290</v>
      </c>
    </row>
    <row r="25" spans="1:1" x14ac:dyDescent="0.35">
      <c r="A25" t="s">
        <v>291</v>
      </c>
    </row>
    <row r="26" spans="1:1" x14ac:dyDescent="0.35">
      <c r="A26" t="s">
        <v>292</v>
      </c>
    </row>
    <row r="27" spans="1:1" x14ac:dyDescent="0.35">
      <c r="A27" t="s">
        <v>293</v>
      </c>
    </row>
    <row r="28" spans="1:1" x14ac:dyDescent="0.35">
      <c r="A28" t="s">
        <v>294</v>
      </c>
    </row>
    <row r="29" spans="1:1" x14ac:dyDescent="0.35">
      <c r="A29" t="s">
        <v>295</v>
      </c>
    </row>
    <row r="30" spans="1:1" x14ac:dyDescent="0.35">
      <c r="A30" t="s">
        <v>296</v>
      </c>
    </row>
    <row r="31" spans="1:1" x14ac:dyDescent="0.35">
      <c r="A31" t="s">
        <v>297</v>
      </c>
    </row>
    <row r="32" spans="1:1" x14ac:dyDescent="0.35">
      <c r="A32" t="s">
        <v>298</v>
      </c>
    </row>
    <row r="33" spans="1:1" x14ac:dyDescent="0.35">
      <c r="A33" t="s">
        <v>299</v>
      </c>
    </row>
    <row r="34" spans="1:1" x14ac:dyDescent="0.35">
      <c r="A34" t="s">
        <v>300</v>
      </c>
    </row>
    <row r="35" spans="1:1" x14ac:dyDescent="0.35">
      <c r="A35" t="s">
        <v>301</v>
      </c>
    </row>
    <row r="36" spans="1:1" x14ac:dyDescent="0.35">
      <c r="A36" t="s">
        <v>302</v>
      </c>
    </row>
    <row r="37" spans="1:1" x14ac:dyDescent="0.35">
      <c r="A37" t="s">
        <v>303</v>
      </c>
    </row>
    <row r="38" spans="1:1" x14ac:dyDescent="0.35">
      <c r="A38" t="s">
        <v>304</v>
      </c>
    </row>
    <row r="39" spans="1:1" x14ac:dyDescent="0.35">
      <c r="A39" t="s">
        <v>305</v>
      </c>
    </row>
    <row r="40" spans="1:1" x14ac:dyDescent="0.35">
      <c r="A40" t="s">
        <v>306</v>
      </c>
    </row>
    <row r="41" spans="1:1" x14ac:dyDescent="0.35">
      <c r="A41" t="s">
        <v>307</v>
      </c>
    </row>
    <row r="42" spans="1:1" x14ac:dyDescent="0.35">
      <c r="A42" t="s">
        <v>308</v>
      </c>
    </row>
    <row r="43" spans="1:1" x14ac:dyDescent="0.35">
      <c r="A43" t="s">
        <v>309</v>
      </c>
    </row>
    <row r="44" spans="1:1" x14ac:dyDescent="0.35">
      <c r="A44" t="s">
        <v>310</v>
      </c>
    </row>
    <row r="45" spans="1:1" x14ac:dyDescent="0.35">
      <c r="A45" t="s">
        <v>311</v>
      </c>
    </row>
    <row r="46" spans="1:1" x14ac:dyDescent="0.35">
      <c r="A46" t="s">
        <v>312</v>
      </c>
    </row>
    <row r="47" spans="1:1" x14ac:dyDescent="0.35">
      <c r="A47" t="s">
        <v>313</v>
      </c>
    </row>
    <row r="48" spans="1:1" x14ac:dyDescent="0.35">
      <c r="A48" t="s">
        <v>314</v>
      </c>
    </row>
    <row r="49" spans="1:1" x14ac:dyDescent="0.35">
      <c r="A49" t="s">
        <v>315</v>
      </c>
    </row>
    <row r="50" spans="1:1" x14ac:dyDescent="0.35">
      <c r="A50" t="s">
        <v>316</v>
      </c>
    </row>
    <row r="51" spans="1:1" x14ac:dyDescent="0.35">
      <c r="A51" t="s">
        <v>317</v>
      </c>
    </row>
    <row r="52" spans="1:1" x14ac:dyDescent="0.35">
      <c r="A52" t="s">
        <v>318</v>
      </c>
    </row>
    <row r="53" spans="1:1" x14ac:dyDescent="0.35">
      <c r="A53" t="s">
        <v>319</v>
      </c>
    </row>
    <row r="54" spans="1:1" x14ac:dyDescent="0.35">
      <c r="A54" t="s">
        <v>320</v>
      </c>
    </row>
    <row r="55" spans="1:1" x14ac:dyDescent="0.35">
      <c r="A55" t="s">
        <v>321</v>
      </c>
    </row>
    <row r="56" spans="1:1" x14ac:dyDescent="0.35">
      <c r="A56" t="s">
        <v>322</v>
      </c>
    </row>
    <row r="57" spans="1:1" x14ac:dyDescent="0.35">
      <c r="A57" t="s">
        <v>323</v>
      </c>
    </row>
    <row r="58" spans="1:1" x14ac:dyDescent="0.35">
      <c r="A58" t="s">
        <v>324</v>
      </c>
    </row>
    <row r="59" spans="1:1" x14ac:dyDescent="0.35">
      <c r="A59" t="s">
        <v>325</v>
      </c>
    </row>
    <row r="60" spans="1:1" x14ac:dyDescent="0.35">
      <c r="A60" t="s">
        <v>326</v>
      </c>
    </row>
    <row r="61" spans="1:1" x14ac:dyDescent="0.35">
      <c r="A61" t="s">
        <v>327</v>
      </c>
    </row>
    <row r="62" spans="1:1" x14ac:dyDescent="0.35">
      <c r="A62" t="s">
        <v>328</v>
      </c>
    </row>
    <row r="63" spans="1:1" x14ac:dyDescent="0.35">
      <c r="A63" t="s">
        <v>329</v>
      </c>
    </row>
    <row r="64" spans="1:1" x14ac:dyDescent="0.35">
      <c r="A64" t="s">
        <v>330</v>
      </c>
    </row>
    <row r="65" spans="1:1" x14ac:dyDescent="0.35">
      <c r="A65" t="s">
        <v>331</v>
      </c>
    </row>
    <row r="66" spans="1:1" x14ac:dyDescent="0.35">
      <c r="A66" t="s">
        <v>332</v>
      </c>
    </row>
    <row r="67" spans="1:1" x14ac:dyDescent="0.35">
      <c r="A67" t="s">
        <v>333</v>
      </c>
    </row>
    <row r="68" spans="1:1" x14ac:dyDescent="0.35">
      <c r="A68" t="s">
        <v>334</v>
      </c>
    </row>
    <row r="69" spans="1:1" x14ac:dyDescent="0.35">
      <c r="A69" t="s">
        <v>335</v>
      </c>
    </row>
    <row r="70" spans="1:1" x14ac:dyDescent="0.35">
      <c r="A70" t="s">
        <v>336</v>
      </c>
    </row>
    <row r="71" spans="1:1" x14ac:dyDescent="0.35">
      <c r="A71" t="s">
        <v>337</v>
      </c>
    </row>
    <row r="72" spans="1:1" x14ac:dyDescent="0.35">
      <c r="A72" t="s">
        <v>338</v>
      </c>
    </row>
    <row r="73" spans="1:1" x14ac:dyDescent="0.35">
      <c r="A73" t="s">
        <v>339</v>
      </c>
    </row>
    <row r="74" spans="1:1" x14ac:dyDescent="0.35">
      <c r="A74" t="s">
        <v>340</v>
      </c>
    </row>
    <row r="75" spans="1:1" x14ac:dyDescent="0.35">
      <c r="A75" t="s">
        <v>341</v>
      </c>
    </row>
    <row r="76" spans="1:1" x14ac:dyDescent="0.35">
      <c r="A76" t="s">
        <v>342</v>
      </c>
    </row>
    <row r="77" spans="1:1" x14ac:dyDescent="0.35">
      <c r="A77" t="s">
        <v>343</v>
      </c>
    </row>
    <row r="78" spans="1:1" x14ac:dyDescent="0.35">
      <c r="A78" t="s">
        <v>344</v>
      </c>
    </row>
    <row r="79" spans="1:1" x14ac:dyDescent="0.35">
      <c r="A79" t="s">
        <v>345</v>
      </c>
    </row>
    <row r="80" spans="1:1" x14ac:dyDescent="0.35">
      <c r="A80" t="s">
        <v>346</v>
      </c>
    </row>
    <row r="81" spans="1:1" x14ac:dyDescent="0.35">
      <c r="A81" t="s">
        <v>347</v>
      </c>
    </row>
    <row r="82" spans="1:1" x14ac:dyDescent="0.35">
      <c r="A82" t="s">
        <v>348</v>
      </c>
    </row>
    <row r="83" spans="1:1" x14ac:dyDescent="0.35">
      <c r="A83" t="s">
        <v>349</v>
      </c>
    </row>
    <row r="84" spans="1:1" x14ac:dyDescent="0.35">
      <c r="A84" t="s">
        <v>350</v>
      </c>
    </row>
    <row r="85" spans="1:1" x14ac:dyDescent="0.35">
      <c r="A85" t="s">
        <v>351</v>
      </c>
    </row>
    <row r="86" spans="1:1" x14ac:dyDescent="0.35">
      <c r="A86" t="s">
        <v>352</v>
      </c>
    </row>
    <row r="87" spans="1:1" x14ac:dyDescent="0.35">
      <c r="A87" t="s">
        <v>353</v>
      </c>
    </row>
    <row r="88" spans="1:1" x14ac:dyDescent="0.35">
      <c r="A88" t="s">
        <v>354</v>
      </c>
    </row>
    <row r="89" spans="1:1" x14ac:dyDescent="0.35">
      <c r="A89" t="s">
        <v>355</v>
      </c>
    </row>
    <row r="90" spans="1:1" x14ac:dyDescent="0.35">
      <c r="A90" t="s">
        <v>356</v>
      </c>
    </row>
    <row r="91" spans="1:1" x14ac:dyDescent="0.35">
      <c r="A91" t="s">
        <v>357</v>
      </c>
    </row>
    <row r="92" spans="1:1" x14ac:dyDescent="0.35">
      <c r="A92" t="s">
        <v>358</v>
      </c>
    </row>
    <row r="93" spans="1:1" x14ac:dyDescent="0.35">
      <c r="A93" t="s">
        <v>359</v>
      </c>
    </row>
    <row r="94" spans="1:1" x14ac:dyDescent="0.35">
      <c r="A94" t="s">
        <v>360</v>
      </c>
    </row>
    <row r="95" spans="1:1" x14ac:dyDescent="0.35">
      <c r="A95" t="s">
        <v>361</v>
      </c>
    </row>
    <row r="96" spans="1:1" x14ac:dyDescent="0.35">
      <c r="A96" t="s">
        <v>362</v>
      </c>
    </row>
    <row r="97" spans="1:1" x14ac:dyDescent="0.35">
      <c r="A97" t="s">
        <v>363</v>
      </c>
    </row>
    <row r="98" spans="1:1" x14ac:dyDescent="0.35">
      <c r="A98" t="s">
        <v>364</v>
      </c>
    </row>
    <row r="99" spans="1:1" x14ac:dyDescent="0.35">
      <c r="A99" t="s">
        <v>365</v>
      </c>
    </row>
    <row r="100" spans="1:1" x14ac:dyDescent="0.35">
      <c r="A100" t="s">
        <v>366</v>
      </c>
    </row>
    <row r="101" spans="1:1" x14ac:dyDescent="0.35">
      <c r="A101" t="s">
        <v>367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56"/>
  <sheetViews>
    <sheetView tabSelected="1" zoomScale="85" zoomScaleNormal="85" workbookViewId="0">
      <pane ySplit="1" topLeftCell="A2" activePane="bottomLeft" state="frozen"/>
      <selection pane="bottomLeft" activeCell="J21" sqref="J21"/>
    </sheetView>
  </sheetViews>
  <sheetFormatPr defaultColWidth="8.81640625" defaultRowHeight="14.5" x14ac:dyDescent="0.35"/>
  <cols>
    <col min="2" max="2" width="7.453125" bestFit="1" customWidth="1"/>
    <col min="3" max="3" width="9.81640625" bestFit="1" customWidth="1"/>
    <col min="4" max="4" width="47.453125" bestFit="1" customWidth="1"/>
    <col min="5" max="5" width="10.36328125" bestFit="1" customWidth="1"/>
    <col min="6" max="6" width="11.453125" bestFit="1" customWidth="1"/>
    <col min="7" max="7" width="12.08984375" bestFit="1" customWidth="1"/>
    <col min="8" max="8" width="11.453125" bestFit="1" customWidth="1"/>
  </cols>
  <sheetData>
    <row r="1" spans="1:17" ht="29.5" customHeight="1" x14ac:dyDescent="0.35">
      <c r="B1" s="14" t="s">
        <v>0</v>
      </c>
      <c r="C1" s="14" t="s">
        <v>1</v>
      </c>
      <c r="D1" s="14" t="s">
        <v>2</v>
      </c>
      <c r="E1" s="15" t="s">
        <v>3</v>
      </c>
      <c r="F1" s="14" t="s">
        <v>4</v>
      </c>
      <c r="G1" s="14" t="s">
        <v>5</v>
      </c>
      <c r="H1" s="14" t="s">
        <v>6</v>
      </c>
      <c r="I1" s="30" t="s">
        <v>270</v>
      </c>
      <c r="J1" s="31">
        <f>COUNTIF(A:A,I1)</f>
        <v>6</v>
      </c>
      <c r="K1" s="29" t="s">
        <v>269</v>
      </c>
      <c r="L1" s="31">
        <f>COUNTIF(A:A,K1)</f>
        <v>3</v>
      </c>
    </row>
    <row r="2" spans="1:17" x14ac:dyDescent="0.35">
      <c r="A2" t="s">
        <v>268</v>
      </c>
      <c r="B2" s="16" t="s">
        <v>7</v>
      </c>
      <c r="C2" s="16" t="s">
        <v>374</v>
      </c>
      <c r="D2" s="17" t="s">
        <v>375</v>
      </c>
      <c r="E2" s="18">
        <v>41318</v>
      </c>
      <c r="F2" s="19">
        <v>29380</v>
      </c>
      <c r="G2" s="20">
        <v>-29379</v>
      </c>
      <c r="H2" s="21">
        <v>1</v>
      </c>
    </row>
    <row r="3" spans="1:17" x14ac:dyDescent="0.35">
      <c r="A3" t="s">
        <v>268</v>
      </c>
      <c r="B3" s="22" t="s">
        <v>7</v>
      </c>
      <c r="C3" s="22" t="s">
        <v>374</v>
      </c>
      <c r="D3" s="23" t="s">
        <v>376</v>
      </c>
      <c r="E3" s="24">
        <v>41318</v>
      </c>
      <c r="F3" s="25">
        <v>4800</v>
      </c>
      <c r="G3" s="26">
        <v>-4799</v>
      </c>
      <c r="H3" s="14">
        <v>1</v>
      </c>
      <c r="J3" s="32"/>
      <c r="K3" s="32"/>
      <c r="L3" s="32" t="s">
        <v>392</v>
      </c>
      <c r="M3" s="32"/>
      <c r="N3" s="32"/>
      <c r="O3" s="32"/>
      <c r="P3" s="32"/>
      <c r="Q3" s="32"/>
    </row>
    <row r="4" spans="1:17" x14ac:dyDescent="0.35">
      <c r="B4" s="22" t="s">
        <v>7</v>
      </c>
      <c r="C4" s="22" t="s">
        <v>377</v>
      </c>
      <c r="D4" s="23" t="s">
        <v>378</v>
      </c>
      <c r="E4" s="18">
        <v>41437</v>
      </c>
      <c r="F4" s="27">
        <v>0</v>
      </c>
      <c r="G4" s="14">
        <v>0</v>
      </c>
      <c r="H4" s="14">
        <v>0</v>
      </c>
      <c r="J4" s="32"/>
      <c r="K4" s="32"/>
      <c r="L4" s="32"/>
      <c r="M4" s="32"/>
      <c r="N4" s="32"/>
      <c r="O4" s="32"/>
      <c r="P4" s="32"/>
      <c r="Q4" s="32"/>
    </row>
    <row r="5" spans="1:17" x14ac:dyDescent="0.35">
      <c r="A5" t="s">
        <v>268</v>
      </c>
      <c r="B5" s="22" t="s">
        <v>7</v>
      </c>
      <c r="C5" s="22" t="s">
        <v>138</v>
      </c>
      <c r="D5" s="23" t="s">
        <v>139</v>
      </c>
      <c r="E5" s="18">
        <v>41710</v>
      </c>
      <c r="F5" s="25">
        <v>28495</v>
      </c>
      <c r="G5" s="26">
        <v>-28494</v>
      </c>
      <c r="H5" s="14">
        <v>1</v>
      </c>
      <c r="J5" s="32"/>
      <c r="K5" s="32"/>
      <c r="L5" s="32" t="s">
        <v>393</v>
      </c>
      <c r="M5" s="32"/>
      <c r="N5" s="32"/>
      <c r="O5" s="32"/>
      <c r="P5" s="32"/>
      <c r="Q5" s="32"/>
    </row>
    <row r="6" spans="1:17" x14ac:dyDescent="0.35">
      <c r="A6" t="s">
        <v>268</v>
      </c>
      <c r="B6" s="22" t="s">
        <v>7</v>
      </c>
      <c r="C6" s="22" t="s">
        <v>379</v>
      </c>
      <c r="D6" s="23" t="s">
        <v>380</v>
      </c>
      <c r="E6" s="18">
        <v>42598</v>
      </c>
      <c r="F6" s="25">
        <v>20088</v>
      </c>
      <c r="G6" s="26">
        <v>-20087</v>
      </c>
      <c r="H6" s="14">
        <v>1</v>
      </c>
      <c r="J6" s="32"/>
      <c r="K6" s="32"/>
      <c r="L6" s="32"/>
      <c r="M6" s="32"/>
      <c r="N6" s="32"/>
      <c r="O6" s="32"/>
      <c r="P6" s="32"/>
      <c r="Q6" s="32"/>
    </row>
    <row r="7" spans="1:17" x14ac:dyDescent="0.35">
      <c r="A7" t="s">
        <v>268</v>
      </c>
      <c r="B7" s="22" t="s">
        <v>7</v>
      </c>
      <c r="C7" s="22" t="s">
        <v>379</v>
      </c>
      <c r="D7" s="23" t="s">
        <v>381</v>
      </c>
      <c r="E7" s="24"/>
      <c r="F7" s="25">
        <v>3637</v>
      </c>
      <c r="G7" s="26">
        <v>-3636</v>
      </c>
      <c r="H7" s="14">
        <v>1</v>
      </c>
    </row>
    <row r="8" spans="1:17" x14ac:dyDescent="0.35">
      <c r="A8" t="s">
        <v>269</v>
      </c>
      <c r="B8" s="22" t="s">
        <v>7</v>
      </c>
      <c r="C8" s="22" t="s">
        <v>382</v>
      </c>
      <c r="D8" s="23" t="s">
        <v>380</v>
      </c>
      <c r="E8" s="24"/>
      <c r="F8" s="25">
        <v>20088</v>
      </c>
      <c r="G8" s="26">
        <v>-20087</v>
      </c>
      <c r="H8" s="14">
        <v>1</v>
      </c>
    </row>
    <row r="9" spans="1:17" x14ac:dyDescent="0.35">
      <c r="A9" t="s">
        <v>269</v>
      </c>
      <c r="B9" s="22" t="s">
        <v>7</v>
      </c>
      <c r="C9" s="22" t="s">
        <v>382</v>
      </c>
      <c r="D9" s="23" t="s">
        <v>381</v>
      </c>
      <c r="E9" s="24">
        <v>42598</v>
      </c>
      <c r="F9" s="25">
        <v>3637</v>
      </c>
      <c r="G9" s="26">
        <v>-3636</v>
      </c>
      <c r="H9" s="14">
        <v>1</v>
      </c>
    </row>
    <row r="10" spans="1:17" x14ac:dyDescent="0.35">
      <c r="A10" t="s">
        <v>269</v>
      </c>
      <c r="B10" s="22" t="s">
        <v>7</v>
      </c>
      <c r="C10" s="22" t="s">
        <v>146</v>
      </c>
      <c r="D10" s="23" t="s">
        <v>147</v>
      </c>
      <c r="E10" s="18">
        <v>42690</v>
      </c>
      <c r="F10" s="25">
        <v>17445</v>
      </c>
      <c r="G10" s="26">
        <v>-17444</v>
      </c>
      <c r="H10" s="14">
        <v>1</v>
      </c>
    </row>
    <row r="11" spans="1:17" x14ac:dyDescent="0.35">
      <c r="A11" t="s">
        <v>270</v>
      </c>
      <c r="B11" s="22" t="s">
        <v>7</v>
      </c>
      <c r="C11" s="22" t="s">
        <v>231</v>
      </c>
      <c r="D11" s="23" t="s">
        <v>232</v>
      </c>
      <c r="E11" s="18">
        <v>42835</v>
      </c>
      <c r="F11" s="25">
        <v>23100</v>
      </c>
      <c r="G11" s="26">
        <v>-23099</v>
      </c>
      <c r="H11" s="14">
        <v>1</v>
      </c>
    </row>
    <row r="12" spans="1:17" x14ac:dyDescent="0.35">
      <c r="A12" t="s">
        <v>270</v>
      </c>
      <c r="B12" s="22" t="s">
        <v>7</v>
      </c>
      <c r="C12" s="22" t="s">
        <v>231</v>
      </c>
      <c r="D12" s="23" t="s">
        <v>233</v>
      </c>
      <c r="E12" s="24">
        <v>42835</v>
      </c>
      <c r="F12" s="25">
        <v>6940</v>
      </c>
      <c r="G12" s="26">
        <v>-6939</v>
      </c>
      <c r="H12" s="14">
        <v>1</v>
      </c>
    </row>
    <row r="13" spans="1:17" x14ac:dyDescent="0.35">
      <c r="A13" t="s">
        <v>270</v>
      </c>
      <c r="B13" s="22" t="s">
        <v>7</v>
      </c>
      <c r="C13" s="22" t="s">
        <v>10</v>
      </c>
      <c r="D13" s="23" t="s">
        <v>11</v>
      </c>
      <c r="E13" s="18">
        <v>42978</v>
      </c>
      <c r="F13" s="25">
        <v>3860</v>
      </c>
      <c r="G13" s="26">
        <v>-3859</v>
      </c>
      <c r="H13" s="14">
        <v>1</v>
      </c>
    </row>
    <row r="14" spans="1:17" x14ac:dyDescent="0.35">
      <c r="A14" t="s">
        <v>270</v>
      </c>
      <c r="B14" s="22" t="s">
        <v>7</v>
      </c>
      <c r="C14" s="22" t="s">
        <v>240</v>
      </c>
      <c r="D14" s="23" t="s">
        <v>241</v>
      </c>
      <c r="E14" s="18">
        <v>43468</v>
      </c>
      <c r="F14" s="25">
        <v>2205</v>
      </c>
      <c r="G14" s="26">
        <v>-2204</v>
      </c>
      <c r="H14" s="14">
        <v>1</v>
      </c>
    </row>
    <row r="15" spans="1:17" x14ac:dyDescent="0.35">
      <c r="A15" t="s">
        <v>270</v>
      </c>
      <c r="B15" s="22" t="s">
        <v>7</v>
      </c>
      <c r="C15" s="22" t="s">
        <v>108</v>
      </c>
      <c r="D15" s="23" t="s">
        <v>109</v>
      </c>
      <c r="E15" s="18">
        <v>43670</v>
      </c>
      <c r="F15" s="25">
        <v>25000</v>
      </c>
      <c r="G15" s="26">
        <v>-24999</v>
      </c>
      <c r="H15" s="14">
        <v>1</v>
      </c>
    </row>
    <row r="16" spans="1:17" x14ac:dyDescent="0.35">
      <c r="A16" t="s">
        <v>270</v>
      </c>
      <c r="B16" s="22" t="s">
        <v>7</v>
      </c>
      <c r="C16" s="22" t="s">
        <v>108</v>
      </c>
      <c r="D16" s="23" t="s">
        <v>110</v>
      </c>
      <c r="E16" s="24">
        <v>43670</v>
      </c>
      <c r="F16" s="25">
        <v>4600</v>
      </c>
      <c r="G16" s="26">
        <v>-4599</v>
      </c>
      <c r="H16" s="14">
        <v>1</v>
      </c>
    </row>
    <row r="17" spans="1:8" x14ac:dyDescent="0.35">
      <c r="B17" s="22" t="s">
        <v>7</v>
      </c>
      <c r="C17" s="22" t="s">
        <v>31</v>
      </c>
      <c r="D17" s="23" t="s">
        <v>32</v>
      </c>
      <c r="E17" s="18">
        <v>43872</v>
      </c>
      <c r="F17" s="25">
        <v>56300</v>
      </c>
      <c r="G17" s="26">
        <v>-50331.59</v>
      </c>
      <c r="H17" s="26">
        <v>5968.41</v>
      </c>
    </row>
    <row r="18" spans="1:8" x14ac:dyDescent="0.35">
      <c r="B18" s="22" t="s">
        <v>7</v>
      </c>
      <c r="C18" s="22" t="s">
        <v>174</v>
      </c>
      <c r="D18" s="23" t="s">
        <v>32</v>
      </c>
      <c r="E18" s="18">
        <v>43920</v>
      </c>
      <c r="F18" s="25">
        <v>56300</v>
      </c>
      <c r="G18" s="26">
        <v>-48854.86</v>
      </c>
      <c r="H18" s="26">
        <v>7445.14</v>
      </c>
    </row>
    <row r="19" spans="1:8" x14ac:dyDescent="0.35">
      <c r="B19" s="22" t="s">
        <v>7</v>
      </c>
      <c r="C19" s="22" t="s">
        <v>69</v>
      </c>
      <c r="D19" s="23" t="s">
        <v>70</v>
      </c>
      <c r="E19" s="18">
        <v>43963</v>
      </c>
      <c r="F19" s="25">
        <v>26200</v>
      </c>
      <c r="G19" s="26">
        <v>-22119.67</v>
      </c>
      <c r="H19" s="26">
        <v>4080.33</v>
      </c>
    </row>
    <row r="20" spans="1:8" x14ac:dyDescent="0.35">
      <c r="B20" s="22" t="s">
        <v>7</v>
      </c>
      <c r="C20" s="22" t="s">
        <v>69</v>
      </c>
      <c r="D20" s="23" t="s">
        <v>71</v>
      </c>
      <c r="E20" s="24">
        <v>43963</v>
      </c>
      <c r="F20" s="25">
        <v>5000</v>
      </c>
      <c r="G20" s="26">
        <v>-4221.3100000000004</v>
      </c>
      <c r="H20" s="14">
        <v>778.69</v>
      </c>
    </row>
    <row r="21" spans="1:8" x14ac:dyDescent="0.35">
      <c r="B21" s="22" t="s">
        <v>7</v>
      </c>
      <c r="C21" s="22" t="s">
        <v>383</v>
      </c>
      <c r="D21" s="23" t="s">
        <v>384</v>
      </c>
      <c r="E21" s="18">
        <v>44007</v>
      </c>
      <c r="F21" s="25">
        <v>23150</v>
      </c>
      <c r="G21" s="26">
        <v>-18988.060000000001</v>
      </c>
      <c r="H21" s="26">
        <v>4161.9399999999996</v>
      </c>
    </row>
    <row r="22" spans="1:8" x14ac:dyDescent="0.35">
      <c r="B22" s="22" t="s">
        <v>7</v>
      </c>
      <c r="C22" s="22" t="s">
        <v>12</v>
      </c>
      <c r="D22" s="23" t="s">
        <v>13</v>
      </c>
      <c r="E22" s="18">
        <v>44022</v>
      </c>
      <c r="F22" s="25">
        <v>52000</v>
      </c>
      <c r="G22" s="26">
        <v>-42225.14</v>
      </c>
      <c r="H22" s="26">
        <v>9774.86</v>
      </c>
    </row>
    <row r="23" spans="1:8" x14ac:dyDescent="0.35">
      <c r="B23" s="22" t="s">
        <v>7</v>
      </c>
      <c r="C23" s="22" t="s">
        <v>14</v>
      </c>
      <c r="D23" s="23" t="s">
        <v>15</v>
      </c>
      <c r="E23" s="18">
        <v>44071</v>
      </c>
      <c r="F23" s="25">
        <v>21990</v>
      </c>
      <c r="G23" s="26">
        <v>-17267.560000000001</v>
      </c>
      <c r="H23" s="26">
        <v>4722.4399999999996</v>
      </c>
    </row>
    <row r="24" spans="1:8" x14ac:dyDescent="0.35">
      <c r="B24" s="22" t="s">
        <v>7</v>
      </c>
      <c r="C24" s="22" t="s">
        <v>385</v>
      </c>
      <c r="D24" s="23" t="s">
        <v>386</v>
      </c>
      <c r="E24" s="18">
        <v>44169</v>
      </c>
      <c r="F24" s="25">
        <v>72900</v>
      </c>
      <c r="G24" s="26">
        <v>-53340.49</v>
      </c>
      <c r="H24" s="26">
        <v>19559.509999999998</v>
      </c>
    </row>
    <row r="25" spans="1:8" x14ac:dyDescent="0.35">
      <c r="B25" s="22" t="s">
        <v>7</v>
      </c>
      <c r="C25" s="22" t="s">
        <v>387</v>
      </c>
      <c r="D25" s="23" t="s">
        <v>388</v>
      </c>
      <c r="E25" s="18">
        <v>44838</v>
      </c>
      <c r="F25" s="25">
        <v>57650.7</v>
      </c>
      <c r="G25" s="26">
        <v>-21051.759999999998</v>
      </c>
      <c r="H25" s="26">
        <v>36598.94</v>
      </c>
    </row>
    <row r="26" spans="1:8" x14ac:dyDescent="0.35">
      <c r="B26" s="22" t="s">
        <v>7</v>
      </c>
      <c r="C26" s="22" t="s">
        <v>389</v>
      </c>
      <c r="D26" s="23" t="s">
        <v>388</v>
      </c>
      <c r="E26" s="28">
        <v>44838</v>
      </c>
      <c r="F26" s="25">
        <v>57650.7</v>
      </c>
      <c r="G26" s="26">
        <v>-21051.759999999998</v>
      </c>
      <c r="H26" s="26">
        <v>36598.94</v>
      </c>
    </row>
    <row r="27" spans="1:8" x14ac:dyDescent="0.35">
      <c r="A27" t="s">
        <v>271</v>
      </c>
      <c r="B27" s="16" t="s">
        <v>7</v>
      </c>
      <c r="C27" s="16" t="s">
        <v>94</v>
      </c>
      <c r="D27" s="17" t="s">
        <v>95</v>
      </c>
      <c r="E27" s="18">
        <v>42023</v>
      </c>
      <c r="F27" s="19">
        <v>117000</v>
      </c>
      <c r="G27" s="20">
        <v>-116999</v>
      </c>
      <c r="H27" s="21">
        <v>1</v>
      </c>
    </row>
    <row r="28" spans="1:8" x14ac:dyDescent="0.35">
      <c r="A28" t="s">
        <v>271</v>
      </c>
      <c r="B28" s="22" t="s">
        <v>7</v>
      </c>
      <c r="C28" s="22" t="s">
        <v>140</v>
      </c>
      <c r="D28" s="23" t="s">
        <v>141</v>
      </c>
      <c r="E28" s="24">
        <v>42023</v>
      </c>
      <c r="F28" s="25">
        <v>331500</v>
      </c>
      <c r="G28" s="26">
        <v>-331499</v>
      </c>
      <c r="H28" s="14">
        <v>1</v>
      </c>
    </row>
    <row r="29" spans="1:8" x14ac:dyDescent="0.35">
      <c r="A29" t="s">
        <v>271</v>
      </c>
      <c r="B29" s="22" t="s">
        <v>7</v>
      </c>
      <c r="C29" s="22" t="s">
        <v>55</v>
      </c>
      <c r="D29" s="23" t="s">
        <v>56</v>
      </c>
      <c r="E29" s="18">
        <v>42304</v>
      </c>
      <c r="F29" s="25">
        <v>34650</v>
      </c>
      <c r="G29" s="26">
        <v>-34649</v>
      </c>
      <c r="H29" s="14">
        <v>1</v>
      </c>
    </row>
    <row r="30" spans="1:8" x14ac:dyDescent="0.35">
      <c r="A30" t="s">
        <v>271</v>
      </c>
      <c r="B30" s="22" t="s">
        <v>7</v>
      </c>
      <c r="C30" s="22" t="s">
        <v>96</v>
      </c>
      <c r="D30" s="23" t="s">
        <v>97</v>
      </c>
      <c r="E30" s="18">
        <v>42331</v>
      </c>
      <c r="F30" s="25">
        <v>115000</v>
      </c>
      <c r="G30" s="26">
        <v>-114999</v>
      </c>
      <c r="H30" s="14">
        <v>1</v>
      </c>
    </row>
    <row r="31" spans="1:8" x14ac:dyDescent="0.35">
      <c r="A31" t="s">
        <v>273</v>
      </c>
      <c r="B31" s="22" t="s">
        <v>7</v>
      </c>
      <c r="C31" s="22" t="s">
        <v>142</v>
      </c>
      <c r="D31" s="23" t="s">
        <v>143</v>
      </c>
      <c r="E31" s="18">
        <v>42451</v>
      </c>
      <c r="F31" s="25">
        <v>11000</v>
      </c>
      <c r="G31" s="26">
        <v>-10999</v>
      </c>
      <c r="H31" s="14">
        <v>1</v>
      </c>
    </row>
    <row r="32" spans="1:8" x14ac:dyDescent="0.35">
      <c r="A32" t="s">
        <v>273</v>
      </c>
      <c r="B32" s="22" t="s">
        <v>7</v>
      </c>
      <c r="C32" s="22" t="s">
        <v>226</v>
      </c>
      <c r="D32" s="23" t="s">
        <v>227</v>
      </c>
      <c r="E32" s="24">
        <v>42451</v>
      </c>
      <c r="F32" s="25">
        <v>6500</v>
      </c>
      <c r="G32" s="26">
        <v>-6499</v>
      </c>
      <c r="H32" s="14">
        <v>1</v>
      </c>
    </row>
    <row r="33" spans="1:8" x14ac:dyDescent="0.35">
      <c r="A33" t="s">
        <v>272</v>
      </c>
      <c r="B33" s="22" t="s">
        <v>7</v>
      </c>
      <c r="C33" s="22" t="s">
        <v>144</v>
      </c>
      <c r="D33" s="23" t="s">
        <v>145</v>
      </c>
      <c r="E33" s="18">
        <v>42481</v>
      </c>
      <c r="F33" s="25">
        <v>149500</v>
      </c>
      <c r="G33" s="26">
        <v>-149499</v>
      </c>
      <c r="H33" s="14">
        <v>1</v>
      </c>
    </row>
    <row r="34" spans="1:8" x14ac:dyDescent="0.35">
      <c r="A34" t="s">
        <v>272</v>
      </c>
      <c r="B34" s="22" t="s">
        <v>7</v>
      </c>
      <c r="C34" s="22" t="s">
        <v>98</v>
      </c>
      <c r="D34" s="23" t="s">
        <v>99</v>
      </c>
      <c r="E34" s="18">
        <v>42549</v>
      </c>
      <c r="F34" s="25">
        <v>30500</v>
      </c>
      <c r="G34" s="26">
        <v>-30499</v>
      </c>
      <c r="H34" s="14">
        <v>1</v>
      </c>
    </row>
    <row r="35" spans="1:8" x14ac:dyDescent="0.35">
      <c r="A35" t="s">
        <v>273</v>
      </c>
      <c r="B35" s="22" t="s">
        <v>7</v>
      </c>
      <c r="C35" s="22" t="s">
        <v>100</v>
      </c>
      <c r="D35" s="23" t="s">
        <v>101</v>
      </c>
      <c r="E35" s="18">
        <v>42591</v>
      </c>
      <c r="F35" s="25">
        <v>69030</v>
      </c>
      <c r="G35" s="26">
        <v>-69029</v>
      </c>
      <c r="H35" s="14">
        <v>1</v>
      </c>
    </row>
    <row r="36" spans="1:8" x14ac:dyDescent="0.35">
      <c r="A36" t="s">
        <v>273</v>
      </c>
      <c r="B36" s="22" t="s">
        <v>7</v>
      </c>
      <c r="C36" s="22" t="s">
        <v>148</v>
      </c>
      <c r="D36" s="23" t="s">
        <v>149</v>
      </c>
      <c r="E36" s="18">
        <v>42696</v>
      </c>
      <c r="F36" s="25">
        <v>37500</v>
      </c>
      <c r="G36" s="26">
        <v>-37499</v>
      </c>
      <c r="H36" s="14">
        <v>1</v>
      </c>
    </row>
    <row r="37" spans="1:8" x14ac:dyDescent="0.35">
      <c r="A37" t="s">
        <v>273</v>
      </c>
      <c r="B37" s="22" t="s">
        <v>7</v>
      </c>
      <c r="C37" s="22" t="s">
        <v>150</v>
      </c>
      <c r="D37" s="23" t="s">
        <v>151</v>
      </c>
      <c r="E37" s="24"/>
      <c r="F37" s="25">
        <v>22500</v>
      </c>
      <c r="G37" s="26">
        <v>-22499</v>
      </c>
      <c r="H37" s="14">
        <v>1</v>
      </c>
    </row>
    <row r="38" spans="1:8" x14ac:dyDescent="0.35">
      <c r="A38" t="s">
        <v>275</v>
      </c>
      <c r="B38" s="22" t="s">
        <v>7</v>
      </c>
      <c r="C38" s="22" t="s">
        <v>228</v>
      </c>
      <c r="D38" s="23" t="s">
        <v>229</v>
      </c>
      <c r="E38" s="24"/>
      <c r="F38" s="25">
        <v>2500</v>
      </c>
      <c r="G38" s="26">
        <v>-2499</v>
      </c>
      <c r="H38" s="14">
        <v>1</v>
      </c>
    </row>
    <row r="39" spans="1:8" x14ac:dyDescent="0.35">
      <c r="A39" t="s">
        <v>272</v>
      </c>
      <c r="B39" s="22" t="s">
        <v>7</v>
      </c>
      <c r="C39" s="22" t="s">
        <v>152</v>
      </c>
      <c r="D39" s="23" t="s">
        <v>153</v>
      </c>
      <c r="E39" s="24"/>
      <c r="F39" s="25">
        <v>6900</v>
      </c>
      <c r="G39" s="26">
        <v>-6899</v>
      </c>
      <c r="H39" s="14">
        <v>1</v>
      </c>
    </row>
    <row r="40" spans="1:8" x14ac:dyDescent="0.35">
      <c r="A40" t="s">
        <v>272</v>
      </c>
      <c r="B40" s="22" t="s">
        <v>7</v>
      </c>
      <c r="C40" s="22" t="s">
        <v>154</v>
      </c>
      <c r="D40" s="23" t="s">
        <v>155</v>
      </c>
      <c r="E40" s="24">
        <v>42696</v>
      </c>
      <c r="F40" s="25">
        <v>8000</v>
      </c>
      <c r="G40" s="26">
        <v>-7999</v>
      </c>
      <c r="H40" s="14">
        <v>1</v>
      </c>
    </row>
    <row r="41" spans="1:8" x14ac:dyDescent="0.35">
      <c r="A41" t="s">
        <v>275</v>
      </c>
      <c r="B41" s="22" t="s">
        <v>7</v>
      </c>
      <c r="C41" s="22" t="s">
        <v>8</v>
      </c>
      <c r="D41" s="23" t="s">
        <v>9</v>
      </c>
      <c r="E41" s="18">
        <v>42702</v>
      </c>
      <c r="F41" s="25">
        <v>12000</v>
      </c>
      <c r="G41" s="26">
        <v>-11999</v>
      </c>
      <c r="H41" s="14">
        <v>1</v>
      </c>
    </row>
    <row r="42" spans="1:8" x14ac:dyDescent="0.35">
      <c r="A42" t="s">
        <v>274</v>
      </c>
      <c r="B42" s="22" t="s">
        <v>7</v>
      </c>
      <c r="C42" s="22" t="s">
        <v>230</v>
      </c>
      <c r="D42" s="23" t="s">
        <v>157</v>
      </c>
      <c r="E42" s="18">
        <v>42736</v>
      </c>
      <c r="F42" s="25">
        <v>233500</v>
      </c>
      <c r="G42" s="26">
        <v>-233499</v>
      </c>
      <c r="H42" s="14">
        <v>1</v>
      </c>
    </row>
    <row r="43" spans="1:8" x14ac:dyDescent="0.35">
      <c r="A43" t="s">
        <v>274</v>
      </c>
      <c r="B43" s="22" t="s">
        <v>7</v>
      </c>
      <c r="C43" s="22" t="s">
        <v>156</v>
      </c>
      <c r="D43" s="23" t="s">
        <v>157</v>
      </c>
      <c r="E43" s="24">
        <v>42736</v>
      </c>
      <c r="F43" s="25">
        <v>233500</v>
      </c>
      <c r="G43" s="26">
        <v>-233499</v>
      </c>
      <c r="H43" s="14">
        <v>1</v>
      </c>
    </row>
    <row r="44" spans="1:8" x14ac:dyDescent="0.35">
      <c r="A44" t="s">
        <v>275</v>
      </c>
      <c r="B44" s="22" t="s">
        <v>7</v>
      </c>
      <c r="C44" s="22" t="s">
        <v>201</v>
      </c>
      <c r="D44" s="23" t="s">
        <v>202</v>
      </c>
      <c r="E44" s="18">
        <v>42781</v>
      </c>
      <c r="F44" s="25">
        <v>49198.11</v>
      </c>
      <c r="G44" s="26">
        <v>-49197.11</v>
      </c>
      <c r="H44" s="14">
        <v>1</v>
      </c>
    </row>
    <row r="45" spans="1:8" x14ac:dyDescent="0.35">
      <c r="A45" t="s">
        <v>275</v>
      </c>
      <c r="B45" s="22" t="s">
        <v>7</v>
      </c>
      <c r="C45" s="22" t="s">
        <v>158</v>
      </c>
      <c r="D45" s="23" t="s">
        <v>159</v>
      </c>
      <c r="E45" s="18">
        <v>43059</v>
      </c>
      <c r="F45" s="25">
        <v>1495.33</v>
      </c>
      <c r="G45" s="26">
        <v>-1494.33</v>
      </c>
      <c r="H45" s="14">
        <v>1</v>
      </c>
    </row>
    <row r="46" spans="1:8" x14ac:dyDescent="0.35">
      <c r="A46" t="s">
        <v>274</v>
      </c>
      <c r="B46" s="22" t="s">
        <v>7</v>
      </c>
      <c r="C46" s="22" t="s">
        <v>18</v>
      </c>
      <c r="D46" s="23" t="s">
        <v>19</v>
      </c>
      <c r="E46" s="18">
        <v>43091</v>
      </c>
      <c r="F46" s="25">
        <v>543000</v>
      </c>
      <c r="G46" s="26">
        <v>-542999</v>
      </c>
      <c r="H46" s="14">
        <v>1</v>
      </c>
    </row>
    <row r="47" spans="1:8" x14ac:dyDescent="0.35">
      <c r="A47" t="s">
        <v>278</v>
      </c>
      <c r="B47" s="22" t="s">
        <v>7</v>
      </c>
      <c r="C47" s="22" t="s">
        <v>57</v>
      </c>
      <c r="D47" s="23" t="s">
        <v>58</v>
      </c>
      <c r="E47" s="18">
        <v>43123</v>
      </c>
      <c r="F47" s="25">
        <v>83850</v>
      </c>
      <c r="G47" s="26">
        <v>-83849</v>
      </c>
      <c r="H47" s="14">
        <v>1</v>
      </c>
    </row>
    <row r="48" spans="1:8" x14ac:dyDescent="0.35">
      <c r="A48" t="s">
        <v>276</v>
      </c>
      <c r="B48" s="22" t="s">
        <v>7</v>
      </c>
      <c r="C48" s="22" t="s">
        <v>59</v>
      </c>
      <c r="D48" s="23" t="s">
        <v>60</v>
      </c>
      <c r="E48" s="18">
        <v>43126</v>
      </c>
      <c r="F48" s="25">
        <v>2750</v>
      </c>
      <c r="G48" s="26">
        <v>-2749</v>
      </c>
      <c r="H48" s="14">
        <v>1</v>
      </c>
    </row>
    <row r="49" spans="1:8" x14ac:dyDescent="0.35">
      <c r="A49" t="s">
        <v>274</v>
      </c>
      <c r="B49" s="22" t="s">
        <v>7</v>
      </c>
      <c r="C49" s="22" t="s">
        <v>61</v>
      </c>
      <c r="D49" s="23" t="s">
        <v>62</v>
      </c>
      <c r="E49" s="24"/>
      <c r="F49" s="25">
        <v>33316</v>
      </c>
      <c r="G49" s="26">
        <v>-33315</v>
      </c>
      <c r="H49" s="14">
        <v>1</v>
      </c>
    </row>
    <row r="50" spans="1:8" x14ac:dyDescent="0.35">
      <c r="A50" t="s">
        <v>276</v>
      </c>
      <c r="B50" s="22" t="s">
        <v>7</v>
      </c>
      <c r="C50" s="22" t="s">
        <v>20</v>
      </c>
      <c r="D50" s="23" t="s">
        <v>21</v>
      </c>
      <c r="E50" s="24"/>
      <c r="F50" s="25">
        <v>8685</v>
      </c>
      <c r="G50" s="26">
        <v>-8684</v>
      </c>
      <c r="H50" s="14">
        <v>1</v>
      </c>
    </row>
    <row r="51" spans="1:8" x14ac:dyDescent="0.35">
      <c r="A51" t="s">
        <v>276</v>
      </c>
      <c r="B51" s="22" t="s">
        <v>7</v>
      </c>
      <c r="C51" s="22" t="s">
        <v>22</v>
      </c>
      <c r="D51" s="23" t="s">
        <v>23</v>
      </c>
      <c r="E51" s="24"/>
      <c r="F51" s="25">
        <v>10800</v>
      </c>
      <c r="G51" s="26">
        <v>-10799</v>
      </c>
      <c r="H51" s="14">
        <v>1</v>
      </c>
    </row>
    <row r="52" spans="1:8" x14ac:dyDescent="0.35">
      <c r="A52" t="s">
        <v>277</v>
      </c>
      <c r="B52" s="22" t="s">
        <v>7</v>
      </c>
      <c r="C52" s="22" t="s">
        <v>24</v>
      </c>
      <c r="D52" s="23" t="s">
        <v>25</v>
      </c>
      <c r="E52" s="24">
        <v>43126</v>
      </c>
      <c r="F52" s="25">
        <v>3312.6</v>
      </c>
      <c r="G52" s="26">
        <v>-3311.6</v>
      </c>
      <c r="H52" s="14">
        <v>1</v>
      </c>
    </row>
    <row r="53" spans="1:8" x14ac:dyDescent="0.35">
      <c r="A53" t="s">
        <v>278</v>
      </c>
      <c r="B53" s="22" t="s">
        <v>7</v>
      </c>
      <c r="C53" s="22" t="s">
        <v>234</v>
      </c>
      <c r="D53" s="23" t="s">
        <v>235</v>
      </c>
      <c r="E53" s="18">
        <v>43165</v>
      </c>
      <c r="F53" s="25">
        <v>235000</v>
      </c>
      <c r="G53" s="26">
        <v>-234999</v>
      </c>
      <c r="H53" s="14">
        <v>1</v>
      </c>
    </row>
    <row r="54" spans="1:8" x14ac:dyDescent="0.35">
      <c r="A54" t="s">
        <v>278</v>
      </c>
      <c r="B54" s="22" t="s">
        <v>7</v>
      </c>
      <c r="C54" s="22" t="s">
        <v>63</v>
      </c>
      <c r="D54" s="23" t="s">
        <v>64</v>
      </c>
      <c r="E54" s="18">
        <v>43235</v>
      </c>
      <c r="F54" s="25">
        <v>153000</v>
      </c>
      <c r="G54" s="26">
        <v>-152999</v>
      </c>
      <c r="H54" s="14">
        <v>1</v>
      </c>
    </row>
    <row r="55" spans="1:8" x14ac:dyDescent="0.35">
      <c r="A55" t="s">
        <v>278</v>
      </c>
      <c r="B55" s="22" t="s">
        <v>7</v>
      </c>
      <c r="C55" s="22" t="s">
        <v>236</v>
      </c>
      <c r="D55" s="23" t="s">
        <v>237</v>
      </c>
      <c r="E55" s="18">
        <v>43322</v>
      </c>
      <c r="F55" s="25">
        <v>432000</v>
      </c>
      <c r="G55" s="26">
        <v>-431999</v>
      </c>
      <c r="H55" s="14">
        <v>1</v>
      </c>
    </row>
    <row r="56" spans="1:8" x14ac:dyDescent="0.35">
      <c r="A56" t="s">
        <v>279</v>
      </c>
      <c r="B56" s="22" t="s">
        <v>7</v>
      </c>
      <c r="C56" s="22" t="s">
        <v>102</v>
      </c>
      <c r="D56" s="23" t="s">
        <v>103</v>
      </c>
      <c r="E56" s="18">
        <v>43385</v>
      </c>
      <c r="F56" s="25">
        <v>390889.72</v>
      </c>
      <c r="G56" s="26">
        <v>-390888.72</v>
      </c>
      <c r="H56" s="14">
        <v>1</v>
      </c>
    </row>
    <row r="57" spans="1:8" x14ac:dyDescent="0.35">
      <c r="A57" t="s">
        <v>279</v>
      </c>
      <c r="B57" s="22" t="s">
        <v>7</v>
      </c>
      <c r="C57" s="22" t="s">
        <v>160</v>
      </c>
      <c r="D57" s="23" t="s">
        <v>161</v>
      </c>
      <c r="E57" s="18">
        <v>43466</v>
      </c>
      <c r="F57" s="25">
        <v>17275.2</v>
      </c>
      <c r="G57" s="26">
        <v>-17274.2</v>
      </c>
      <c r="H57" s="14">
        <v>1</v>
      </c>
    </row>
    <row r="58" spans="1:8" x14ac:dyDescent="0.35">
      <c r="A58" t="s">
        <v>279</v>
      </c>
      <c r="B58" s="22" t="s">
        <v>7</v>
      </c>
      <c r="C58" s="22" t="s">
        <v>65</v>
      </c>
      <c r="D58" s="23" t="s">
        <v>66</v>
      </c>
      <c r="E58" s="24"/>
      <c r="F58" s="25">
        <v>14856</v>
      </c>
      <c r="G58" s="26">
        <v>-14855</v>
      </c>
      <c r="H58" s="14">
        <v>1</v>
      </c>
    </row>
    <row r="59" spans="1:8" x14ac:dyDescent="0.35">
      <c r="A59" t="s">
        <v>279</v>
      </c>
      <c r="B59" s="22" t="s">
        <v>7</v>
      </c>
      <c r="C59" s="22" t="s">
        <v>162</v>
      </c>
      <c r="D59" s="23" t="s">
        <v>163</v>
      </c>
      <c r="E59" s="24"/>
      <c r="F59" s="25">
        <v>10824</v>
      </c>
      <c r="G59" s="26">
        <v>-10823</v>
      </c>
      <c r="H59" s="14">
        <v>1</v>
      </c>
    </row>
    <row r="60" spans="1:8" x14ac:dyDescent="0.35">
      <c r="A60" t="s">
        <v>277</v>
      </c>
      <c r="B60" s="22" t="s">
        <v>7</v>
      </c>
      <c r="C60" s="22" t="s">
        <v>238</v>
      </c>
      <c r="D60" s="23" t="s">
        <v>239</v>
      </c>
      <c r="E60" s="24">
        <v>43466</v>
      </c>
      <c r="F60" s="25">
        <v>12000</v>
      </c>
      <c r="G60" s="26">
        <v>-11999</v>
      </c>
      <c r="H60" s="14">
        <v>1</v>
      </c>
    </row>
    <row r="61" spans="1:8" x14ac:dyDescent="0.35">
      <c r="A61" t="s">
        <v>280</v>
      </c>
      <c r="B61" s="22" t="s">
        <v>7</v>
      </c>
      <c r="C61" s="22" t="s">
        <v>164</v>
      </c>
      <c r="D61" s="23" t="s">
        <v>165</v>
      </c>
      <c r="E61" s="18">
        <v>43523</v>
      </c>
      <c r="F61" s="25">
        <v>300000</v>
      </c>
      <c r="G61" s="26">
        <v>-299999</v>
      </c>
      <c r="H61" s="14">
        <v>1</v>
      </c>
    </row>
    <row r="62" spans="1:8" x14ac:dyDescent="0.35">
      <c r="A62" t="s">
        <v>281</v>
      </c>
      <c r="B62" s="22" t="s">
        <v>7</v>
      </c>
      <c r="C62" s="22" t="s">
        <v>26</v>
      </c>
      <c r="D62" s="23" t="s">
        <v>27</v>
      </c>
      <c r="E62" s="18">
        <v>43538</v>
      </c>
      <c r="F62" s="25">
        <v>12000</v>
      </c>
      <c r="G62" s="26">
        <v>-11999</v>
      </c>
      <c r="H62" s="14">
        <v>1</v>
      </c>
    </row>
    <row r="63" spans="1:8" x14ac:dyDescent="0.35">
      <c r="A63" t="s">
        <v>281</v>
      </c>
      <c r="B63" s="22" t="s">
        <v>7</v>
      </c>
      <c r="C63" s="22" t="s">
        <v>203</v>
      </c>
      <c r="D63" s="23" t="s">
        <v>204</v>
      </c>
      <c r="E63" s="24"/>
      <c r="F63" s="25">
        <v>21000</v>
      </c>
      <c r="G63" s="26">
        <v>-20999</v>
      </c>
      <c r="H63" s="14">
        <v>1</v>
      </c>
    </row>
    <row r="64" spans="1:8" x14ac:dyDescent="0.35">
      <c r="A64" t="s">
        <v>277</v>
      </c>
      <c r="B64" s="22" t="s">
        <v>7</v>
      </c>
      <c r="C64" s="22" t="s">
        <v>205</v>
      </c>
      <c r="D64" s="23" t="s">
        <v>206</v>
      </c>
      <c r="E64" s="24">
        <v>43538</v>
      </c>
      <c r="F64" s="25">
        <v>14500</v>
      </c>
      <c r="G64" s="26">
        <v>-14499</v>
      </c>
      <c r="H64" s="14">
        <v>1</v>
      </c>
    </row>
    <row r="65" spans="1:8" x14ac:dyDescent="0.35">
      <c r="A65" t="s">
        <v>280</v>
      </c>
      <c r="B65" s="22" t="s">
        <v>7</v>
      </c>
      <c r="C65" s="22" t="s">
        <v>104</v>
      </c>
      <c r="D65" s="23" t="s">
        <v>105</v>
      </c>
      <c r="E65" s="18">
        <v>43539</v>
      </c>
      <c r="F65" s="25">
        <v>95000</v>
      </c>
      <c r="G65" s="26">
        <v>-94999</v>
      </c>
      <c r="H65" s="14">
        <v>1</v>
      </c>
    </row>
    <row r="66" spans="1:8" x14ac:dyDescent="0.35">
      <c r="A66" t="s">
        <v>280</v>
      </c>
      <c r="B66" s="22" t="s">
        <v>7</v>
      </c>
      <c r="C66" s="22" t="s">
        <v>67</v>
      </c>
      <c r="D66" s="23" t="s">
        <v>68</v>
      </c>
      <c r="E66" s="18">
        <v>43542</v>
      </c>
      <c r="F66" s="25">
        <v>25000</v>
      </c>
      <c r="G66" s="26">
        <v>-24999</v>
      </c>
      <c r="H66" s="14">
        <v>1</v>
      </c>
    </row>
    <row r="67" spans="1:8" x14ac:dyDescent="0.35">
      <c r="A67" t="s">
        <v>280</v>
      </c>
      <c r="B67" s="22" t="s">
        <v>7</v>
      </c>
      <c r="C67" s="22" t="s">
        <v>106</v>
      </c>
      <c r="D67" s="23" t="s">
        <v>107</v>
      </c>
      <c r="E67" s="18">
        <v>43549</v>
      </c>
      <c r="F67" s="25">
        <v>74000</v>
      </c>
      <c r="G67" s="26">
        <v>-73999</v>
      </c>
      <c r="H67" s="14">
        <v>1</v>
      </c>
    </row>
    <row r="68" spans="1:8" x14ac:dyDescent="0.35">
      <c r="A68" t="s">
        <v>281</v>
      </c>
      <c r="B68" s="22" t="s">
        <v>7</v>
      </c>
      <c r="C68" s="22" t="s">
        <v>166</v>
      </c>
      <c r="D68" s="23" t="s">
        <v>167</v>
      </c>
      <c r="E68" s="18">
        <v>43556</v>
      </c>
      <c r="F68" s="25">
        <v>8500</v>
      </c>
      <c r="G68" s="26">
        <v>-8499</v>
      </c>
      <c r="H68" s="14">
        <v>1</v>
      </c>
    </row>
    <row r="69" spans="1:8" x14ac:dyDescent="0.35">
      <c r="B69" s="22" t="s">
        <v>7</v>
      </c>
      <c r="C69" s="22" t="s">
        <v>28</v>
      </c>
      <c r="D69" s="23" t="s">
        <v>29</v>
      </c>
      <c r="E69" s="18">
        <v>43683</v>
      </c>
      <c r="F69" s="25">
        <v>4390</v>
      </c>
      <c r="G69" s="26">
        <v>-4378.9799999999996</v>
      </c>
      <c r="H69" s="14">
        <v>11.02</v>
      </c>
    </row>
    <row r="70" spans="1:8" x14ac:dyDescent="0.35">
      <c r="B70" s="22" t="s">
        <v>7</v>
      </c>
      <c r="C70" s="22" t="s">
        <v>30</v>
      </c>
      <c r="D70" s="23" t="s">
        <v>29</v>
      </c>
      <c r="E70" s="24">
        <v>43683</v>
      </c>
      <c r="F70" s="25">
        <v>4390</v>
      </c>
      <c r="G70" s="26">
        <v>-4378.9799999999996</v>
      </c>
      <c r="H70" s="14">
        <v>11.02</v>
      </c>
    </row>
    <row r="71" spans="1:8" x14ac:dyDescent="0.35">
      <c r="B71" s="22" t="s">
        <v>7</v>
      </c>
      <c r="C71" s="22" t="s">
        <v>168</v>
      </c>
      <c r="D71" s="23" t="s">
        <v>169</v>
      </c>
      <c r="E71" s="18">
        <v>43703</v>
      </c>
      <c r="F71" s="25">
        <v>345000</v>
      </c>
      <c r="G71" s="26">
        <v>-340353</v>
      </c>
      <c r="H71" s="26">
        <v>4647</v>
      </c>
    </row>
    <row r="72" spans="1:8" x14ac:dyDescent="0.35">
      <c r="B72" s="22" t="s">
        <v>7</v>
      </c>
      <c r="C72" s="22" t="s">
        <v>33</v>
      </c>
      <c r="D72" s="23" t="s">
        <v>34</v>
      </c>
      <c r="E72" s="18">
        <v>43872</v>
      </c>
      <c r="F72" s="25">
        <v>428700</v>
      </c>
      <c r="G72" s="26">
        <v>-383253.11</v>
      </c>
      <c r="H72" s="26">
        <v>45446.89</v>
      </c>
    </row>
    <row r="73" spans="1:8" x14ac:dyDescent="0.35">
      <c r="B73" s="22" t="s">
        <v>7</v>
      </c>
      <c r="C73" s="22" t="s">
        <v>242</v>
      </c>
      <c r="D73" s="23" t="s">
        <v>243</v>
      </c>
      <c r="E73" s="18">
        <v>43892</v>
      </c>
      <c r="F73" s="25">
        <v>14750</v>
      </c>
      <c r="G73" s="26">
        <v>-13025.13</v>
      </c>
      <c r="H73" s="26">
        <v>1724.87</v>
      </c>
    </row>
    <row r="74" spans="1:8" x14ac:dyDescent="0.35">
      <c r="B74" s="22" t="s">
        <v>7</v>
      </c>
      <c r="C74" s="22" t="s">
        <v>111</v>
      </c>
      <c r="D74" s="23" t="s">
        <v>112</v>
      </c>
      <c r="E74" s="24"/>
      <c r="F74" s="25">
        <v>15060</v>
      </c>
      <c r="G74" s="26">
        <v>-13298.89</v>
      </c>
      <c r="H74" s="26">
        <v>1761.11</v>
      </c>
    </row>
    <row r="75" spans="1:8" x14ac:dyDescent="0.35">
      <c r="B75" s="22" t="s">
        <v>7</v>
      </c>
      <c r="C75" s="22" t="s">
        <v>170</v>
      </c>
      <c r="D75" s="23" t="s">
        <v>171</v>
      </c>
      <c r="E75" s="24"/>
      <c r="F75" s="25">
        <v>14600</v>
      </c>
      <c r="G75" s="26">
        <v>-12892.67</v>
      </c>
      <c r="H75" s="26">
        <v>1707.33</v>
      </c>
    </row>
    <row r="76" spans="1:8" x14ac:dyDescent="0.35">
      <c r="B76" s="22" t="s">
        <v>7</v>
      </c>
      <c r="C76" s="22" t="s">
        <v>244</v>
      </c>
      <c r="D76" s="23" t="s">
        <v>245</v>
      </c>
      <c r="E76" s="24"/>
      <c r="F76" s="25">
        <v>13290</v>
      </c>
      <c r="G76" s="26">
        <v>-11735.87</v>
      </c>
      <c r="H76" s="26">
        <v>1554.13</v>
      </c>
    </row>
    <row r="77" spans="1:8" x14ac:dyDescent="0.35">
      <c r="B77" s="22" t="s">
        <v>7</v>
      </c>
      <c r="C77" s="22" t="s">
        <v>246</v>
      </c>
      <c r="D77" s="23" t="s">
        <v>243</v>
      </c>
      <c r="E77" s="24"/>
      <c r="F77" s="25">
        <v>14750</v>
      </c>
      <c r="G77" s="26">
        <v>-13025.13</v>
      </c>
      <c r="H77" s="26">
        <v>1724.87</v>
      </c>
    </row>
    <row r="78" spans="1:8" x14ac:dyDescent="0.35">
      <c r="B78" s="22" t="s">
        <v>7</v>
      </c>
      <c r="C78" s="22" t="s">
        <v>113</v>
      </c>
      <c r="D78" s="23" t="s">
        <v>112</v>
      </c>
      <c r="E78" s="24"/>
      <c r="F78" s="25">
        <v>15060</v>
      </c>
      <c r="G78" s="26">
        <v>-13298.89</v>
      </c>
      <c r="H78" s="26">
        <v>1761.11</v>
      </c>
    </row>
    <row r="79" spans="1:8" x14ac:dyDescent="0.35">
      <c r="B79" s="22" t="s">
        <v>7</v>
      </c>
      <c r="C79" s="22" t="s">
        <v>247</v>
      </c>
      <c r="D79" s="23" t="s">
        <v>245</v>
      </c>
      <c r="E79" s="24">
        <v>43892</v>
      </c>
      <c r="F79" s="25">
        <v>13290</v>
      </c>
      <c r="G79" s="26">
        <v>-11735.87</v>
      </c>
      <c r="H79" s="26">
        <v>1554.13</v>
      </c>
    </row>
    <row r="80" spans="1:8" x14ac:dyDescent="0.35">
      <c r="B80" s="22" t="s">
        <v>7</v>
      </c>
      <c r="C80" s="22" t="s">
        <v>172</v>
      </c>
      <c r="D80" s="23" t="s">
        <v>173</v>
      </c>
      <c r="E80" s="18">
        <v>43915</v>
      </c>
      <c r="F80" s="25">
        <v>23000</v>
      </c>
      <c r="G80" s="26">
        <v>-20021.310000000001</v>
      </c>
      <c r="H80" s="26">
        <v>2978.69</v>
      </c>
    </row>
    <row r="81" spans="2:8" x14ac:dyDescent="0.35">
      <c r="B81" s="22" t="s">
        <v>7</v>
      </c>
      <c r="C81" s="22" t="s">
        <v>175</v>
      </c>
      <c r="D81" s="23" t="s">
        <v>176</v>
      </c>
      <c r="E81" s="18">
        <v>43920</v>
      </c>
      <c r="F81" s="25">
        <v>363700</v>
      </c>
      <c r="G81" s="26">
        <v>-315604.15999999997</v>
      </c>
      <c r="H81" s="26">
        <v>48095.839999999997</v>
      </c>
    </row>
    <row r="82" spans="2:8" x14ac:dyDescent="0.35">
      <c r="B82" s="22" t="s">
        <v>7</v>
      </c>
      <c r="C82" s="22" t="s">
        <v>248</v>
      </c>
      <c r="D82" s="23" t="s">
        <v>249</v>
      </c>
      <c r="E82" s="18">
        <v>43944</v>
      </c>
      <c r="F82" s="25">
        <v>400000</v>
      </c>
      <c r="G82" s="26">
        <v>-341857.93</v>
      </c>
      <c r="H82" s="26">
        <v>58142.07</v>
      </c>
    </row>
    <row r="83" spans="2:8" x14ac:dyDescent="0.35">
      <c r="B83" s="22" t="s">
        <v>7</v>
      </c>
      <c r="C83" s="22" t="s">
        <v>114</v>
      </c>
      <c r="D83" s="23" t="s">
        <v>115</v>
      </c>
      <c r="E83" s="24">
        <v>43944</v>
      </c>
      <c r="F83" s="25">
        <v>340000</v>
      </c>
      <c r="G83" s="26">
        <v>-290579.23</v>
      </c>
      <c r="H83" s="26">
        <v>49420.77</v>
      </c>
    </row>
    <row r="84" spans="2:8" x14ac:dyDescent="0.35">
      <c r="B84" s="22" t="s">
        <v>7</v>
      </c>
      <c r="C84" s="22" t="s">
        <v>116</v>
      </c>
      <c r="D84" s="23" t="s">
        <v>117</v>
      </c>
      <c r="E84" s="18">
        <v>44022</v>
      </c>
      <c r="F84" s="25">
        <v>4338000</v>
      </c>
      <c r="G84" s="26">
        <v>-3522550.82</v>
      </c>
      <c r="H84" s="26">
        <v>815449.18</v>
      </c>
    </row>
    <row r="85" spans="2:8" x14ac:dyDescent="0.35">
      <c r="B85" s="22" t="s">
        <v>7</v>
      </c>
      <c r="C85" s="22" t="s">
        <v>250</v>
      </c>
      <c r="D85" s="23" t="s">
        <v>251</v>
      </c>
      <c r="E85" s="18">
        <v>44071</v>
      </c>
      <c r="F85" s="25">
        <v>500000</v>
      </c>
      <c r="G85" s="26">
        <v>-392622.95</v>
      </c>
      <c r="H85" s="26">
        <v>107377.05</v>
      </c>
    </row>
    <row r="86" spans="2:8" x14ac:dyDescent="0.35">
      <c r="B86" s="22" t="s">
        <v>7</v>
      </c>
      <c r="C86" s="22" t="s">
        <v>177</v>
      </c>
      <c r="D86" s="23" t="s">
        <v>178</v>
      </c>
      <c r="E86" s="24">
        <v>44071</v>
      </c>
      <c r="F86" s="25">
        <v>303243.64</v>
      </c>
      <c r="G86" s="26">
        <v>-238120.83</v>
      </c>
      <c r="H86" s="26">
        <v>65122.81</v>
      </c>
    </row>
    <row r="87" spans="2:8" x14ac:dyDescent="0.35">
      <c r="B87" s="22" t="s">
        <v>7</v>
      </c>
      <c r="C87" s="22" t="s">
        <v>118</v>
      </c>
      <c r="D87" s="23" t="s">
        <v>119</v>
      </c>
      <c r="E87" s="18">
        <v>44084</v>
      </c>
      <c r="F87" s="25">
        <v>51500</v>
      </c>
      <c r="G87" s="26">
        <v>-40074.31</v>
      </c>
      <c r="H87" s="26">
        <v>11425.69</v>
      </c>
    </row>
    <row r="88" spans="2:8" x14ac:dyDescent="0.35">
      <c r="B88" s="22" t="s">
        <v>7</v>
      </c>
      <c r="C88" s="22" t="s">
        <v>120</v>
      </c>
      <c r="D88" s="23" t="s">
        <v>119</v>
      </c>
      <c r="E88" s="24"/>
      <c r="F88" s="25">
        <v>51500</v>
      </c>
      <c r="G88" s="26">
        <v>-40074.31</v>
      </c>
      <c r="H88" s="26">
        <v>11425.69</v>
      </c>
    </row>
    <row r="89" spans="2:8" x14ac:dyDescent="0.35">
      <c r="B89" s="22" t="s">
        <v>7</v>
      </c>
      <c r="C89" s="22" t="s">
        <v>121</v>
      </c>
      <c r="D89" s="23" t="s">
        <v>119</v>
      </c>
      <c r="E89" s="24"/>
      <c r="F89" s="25">
        <v>51500</v>
      </c>
      <c r="G89" s="26">
        <v>-40074.31</v>
      </c>
      <c r="H89" s="26">
        <v>11425.69</v>
      </c>
    </row>
    <row r="90" spans="2:8" x14ac:dyDescent="0.35">
      <c r="B90" s="22" t="s">
        <v>7</v>
      </c>
      <c r="C90" s="22" t="s">
        <v>122</v>
      </c>
      <c r="D90" s="23" t="s">
        <v>119</v>
      </c>
      <c r="E90" s="24"/>
      <c r="F90" s="25">
        <v>51500</v>
      </c>
      <c r="G90" s="26">
        <v>-40074.31</v>
      </c>
      <c r="H90" s="26">
        <v>11425.69</v>
      </c>
    </row>
    <row r="91" spans="2:8" x14ac:dyDescent="0.35">
      <c r="B91" s="22" t="s">
        <v>7</v>
      </c>
      <c r="C91" s="22" t="s">
        <v>123</v>
      </c>
      <c r="D91" s="23" t="s">
        <v>119</v>
      </c>
      <c r="E91" s="24"/>
      <c r="F91" s="25">
        <v>51500</v>
      </c>
      <c r="G91" s="26">
        <v>-40074.31</v>
      </c>
      <c r="H91" s="26">
        <v>11425.69</v>
      </c>
    </row>
    <row r="92" spans="2:8" x14ac:dyDescent="0.35">
      <c r="B92" s="22" t="s">
        <v>7</v>
      </c>
      <c r="C92" s="22" t="s">
        <v>124</v>
      </c>
      <c r="D92" s="23" t="s">
        <v>119</v>
      </c>
      <c r="E92" s="24"/>
      <c r="F92" s="25">
        <v>51500</v>
      </c>
      <c r="G92" s="26">
        <v>-40074.31</v>
      </c>
      <c r="H92" s="26">
        <v>11425.69</v>
      </c>
    </row>
    <row r="93" spans="2:8" x14ac:dyDescent="0.35">
      <c r="B93" s="22" t="s">
        <v>7</v>
      </c>
      <c r="C93" s="22" t="s">
        <v>125</v>
      </c>
      <c r="D93" s="23" t="s">
        <v>119</v>
      </c>
      <c r="E93" s="24"/>
      <c r="F93" s="25">
        <v>51500</v>
      </c>
      <c r="G93" s="26">
        <v>-40074.31</v>
      </c>
      <c r="H93" s="26">
        <v>11425.69</v>
      </c>
    </row>
    <row r="94" spans="2:8" x14ac:dyDescent="0.35">
      <c r="B94" s="22" t="s">
        <v>7</v>
      </c>
      <c r="C94" s="22" t="s">
        <v>126</v>
      </c>
      <c r="D94" s="23" t="s">
        <v>119</v>
      </c>
      <c r="E94" s="24">
        <v>44084</v>
      </c>
      <c r="F94" s="25">
        <v>51500</v>
      </c>
      <c r="G94" s="26">
        <v>-40074.31</v>
      </c>
      <c r="H94" s="26">
        <v>11425.69</v>
      </c>
    </row>
    <row r="95" spans="2:8" x14ac:dyDescent="0.35">
      <c r="B95" s="22" t="s">
        <v>7</v>
      </c>
      <c r="C95" s="22" t="s">
        <v>72</v>
      </c>
      <c r="D95" s="23" t="s">
        <v>73</v>
      </c>
      <c r="E95" s="18">
        <v>44169</v>
      </c>
      <c r="F95" s="25">
        <v>2163100</v>
      </c>
      <c r="G95" s="26">
        <v>-1582727.26</v>
      </c>
      <c r="H95" s="26">
        <v>580372.74</v>
      </c>
    </row>
    <row r="96" spans="2:8" x14ac:dyDescent="0.35">
      <c r="B96" s="22" t="s">
        <v>7</v>
      </c>
      <c r="C96" s="22" t="s">
        <v>35</v>
      </c>
      <c r="D96" s="23" t="s">
        <v>36</v>
      </c>
      <c r="E96" s="18">
        <v>44271</v>
      </c>
      <c r="F96" s="25">
        <v>69400</v>
      </c>
      <c r="G96" s="26">
        <v>-46903.67</v>
      </c>
      <c r="H96" s="26">
        <v>22496.33</v>
      </c>
    </row>
    <row r="97" spans="2:8" x14ac:dyDescent="0.35">
      <c r="B97" s="22" t="s">
        <v>7</v>
      </c>
      <c r="C97" s="22" t="s">
        <v>179</v>
      </c>
      <c r="D97" s="23" t="s">
        <v>180</v>
      </c>
      <c r="E97" s="24"/>
      <c r="F97" s="25">
        <v>12870</v>
      </c>
      <c r="G97" s="26">
        <v>-8698.1299999999992</v>
      </c>
      <c r="H97" s="26">
        <v>4171.87</v>
      </c>
    </row>
    <row r="98" spans="2:8" x14ac:dyDescent="0.35">
      <c r="B98" s="22" t="s">
        <v>7</v>
      </c>
      <c r="C98" s="22" t="s">
        <v>37</v>
      </c>
      <c r="D98" s="23" t="s">
        <v>38</v>
      </c>
      <c r="E98" s="24">
        <v>44271</v>
      </c>
      <c r="F98" s="25">
        <v>51500</v>
      </c>
      <c r="G98" s="26">
        <v>-34806.04</v>
      </c>
      <c r="H98" s="26">
        <v>16693.96</v>
      </c>
    </row>
    <row r="99" spans="2:8" x14ac:dyDescent="0.35">
      <c r="B99" s="22" t="s">
        <v>7</v>
      </c>
      <c r="C99" s="22" t="s">
        <v>181</v>
      </c>
      <c r="D99" s="23" t="s">
        <v>182</v>
      </c>
      <c r="E99" s="18">
        <v>44277</v>
      </c>
      <c r="F99" s="25">
        <v>15500</v>
      </c>
      <c r="G99" s="26">
        <v>-10424.65</v>
      </c>
      <c r="H99" s="26">
        <v>5075.3500000000004</v>
      </c>
    </row>
    <row r="100" spans="2:8" x14ac:dyDescent="0.35">
      <c r="B100" s="22" t="s">
        <v>7</v>
      </c>
      <c r="C100" s="22" t="s">
        <v>207</v>
      </c>
      <c r="D100" s="23" t="s">
        <v>208</v>
      </c>
      <c r="E100" s="24">
        <v>44277</v>
      </c>
      <c r="F100" s="25">
        <v>19700</v>
      </c>
      <c r="G100" s="26">
        <v>-13249.39</v>
      </c>
      <c r="H100" s="26">
        <v>6450.61</v>
      </c>
    </row>
    <row r="101" spans="2:8" x14ac:dyDescent="0.35">
      <c r="B101" s="22" t="s">
        <v>7</v>
      </c>
      <c r="C101" s="22" t="s">
        <v>209</v>
      </c>
      <c r="D101" s="23" t="s">
        <v>210</v>
      </c>
      <c r="E101" s="18">
        <v>44631</v>
      </c>
      <c r="F101" s="25">
        <v>189000</v>
      </c>
      <c r="G101" s="26">
        <v>-90452.61</v>
      </c>
      <c r="H101" s="26">
        <v>98547.39</v>
      </c>
    </row>
    <row r="102" spans="2:8" x14ac:dyDescent="0.35">
      <c r="B102" s="22" t="s">
        <v>7</v>
      </c>
      <c r="C102" s="22" t="s">
        <v>211</v>
      </c>
      <c r="D102" s="23" t="s">
        <v>40</v>
      </c>
      <c r="E102" s="18">
        <v>44670</v>
      </c>
      <c r="F102" s="25">
        <v>16500</v>
      </c>
      <c r="G102" s="26">
        <v>-7544.05</v>
      </c>
      <c r="H102" s="26">
        <v>8955.9500000000007</v>
      </c>
    </row>
    <row r="103" spans="2:8" x14ac:dyDescent="0.35">
      <c r="B103" s="22" t="s">
        <v>7</v>
      </c>
      <c r="C103" s="22" t="s">
        <v>39</v>
      </c>
      <c r="D103" s="23" t="s">
        <v>40</v>
      </c>
      <c r="E103" s="24"/>
      <c r="F103" s="25">
        <v>16500</v>
      </c>
      <c r="G103" s="26">
        <v>-7544.05</v>
      </c>
      <c r="H103" s="26">
        <v>8955.9500000000007</v>
      </c>
    </row>
    <row r="104" spans="2:8" x14ac:dyDescent="0.35">
      <c r="B104" s="22" t="s">
        <v>7</v>
      </c>
      <c r="C104" s="22" t="s">
        <v>252</v>
      </c>
      <c r="D104" s="23" t="s">
        <v>75</v>
      </c>
      <c r="E104" s="24"/>
      <c r="F104" s="25">
        <v>13500</v>
      </c>
      <c r="G104" s="26">
        <v>-6172.41</v>
      </c>
      <c r="H104" s="26">
        <v>7327.59</v>
      </c>
    </row>
    <row r="105" spans="2:8" x14ac:dyDescent="0.35">
      <c r="B105" s="22" t="s">
        <v>7</v>
      </c>
      <c r="C105" s="22" t="s">
        <v>74</v>
      </c>
      <c r="D105" s="23" t="s">
        <v>75</v>
      </c>
      <c r="E105" s="24"/>
      <c r="F105" s="25">
        <v>13500</v>
      </c>
      <c r="G105" s="26">
        <v>-6172.41</v>
      </c>
      <c r="H105" s="26">
        <v>7327.59</v>
      </c>
    </row>
    <row r="106" spans="2:8" x14ac:dyDescent="0.35">
      <c r="B106" s="22" t="s">
        <v>7</v>
      </c>
      <c r="C106" s="22" t="s">
        <v>212</v>
      </c>
      <c r="D106" s="23" t="s">
        <v>213</v>
      </c>
      <c r="E106" s="24"/>
      <c r="F106" s="25">
        <v>24500</v>
      </c>
      <c r="G106" s="26">
        <v>-11201.78</v>
      </c>
      <c r="H106" s="26">
        <v>13298.22</v>
      </c>
    </row>
    <row r="107" spans="2:8" x14ac:dyDescent="0.35">
      <c r="B107" s="22" t="s">
        <v>7</v>
      </c>
      <c r="C107" s="22" t="s">
        <v>76</v>
      </c>
      <c r="D107" s="23" t="s">
        <v>77</v>
      </c>
      <c r="E107" s="24">
        <v>44670</v>
      </c>
      <c r="F107" s="25">
        <v>20900</v>
      </c>
      <c r="G107" s="26">
        <v>-9555.7999999999993</v>
      </c>
      <c r="H107" s="26">
        <v>11344.2</v>
      </c>
    </row>
    <row r="108" spans="2:8" x14ac:dyDescent="0.35">
      <c r="B108" s="22" t="s">
        <v>7</v>
      </c>
      <c r="C108" s="22" t="s">
        <v>214</v>
      </c>
      <c r="D108" s="23" t="s">
        <v>42</v>
      </c>
      <c r="E108" s="18">
        <v>44680</v>
      </c>
      <c r="F108" s="25">
        <v>21000</v>
      </c>
      <c r="G108" s="26">
        <v>-9486.4500000000007</v>
      </c>
      <c r="H108" s="26">
        <v>11513.55</v>
      </c>
    </row>
    <row r="109" spans="2:8" x14ac:dyDescent="0.35">
      <c r="B109" s="22" t="s">
        <v>7</v>
      </c>
      <c r="C109" s="22" t="s">
        <v>41</v>
      </c>
      <c r="D109" s="23" t="s">
        <v>42</v>
      </c>
      <c r="E109" s="24">
        <v>44680</v>
      </c>
      <c r="F109" s="25">
        <v>21000</v>
      </c>
      <c r="G109" s="26">
        <v>-9486.4500000000007</v>
      </c>
      <c r="H109" s="26">
        <v>11513.55</v>
      </c>
    </row>
    <row r="110" spans="2:8" x14ac:dyDescent="0.35">
      <c r="B110" s="22" t="s">
        <v>7</v>
      </c>
      <c r="C110" s="22" t="s">
        <v>183</v>
      </c>
      <c r="D110" s="23" t="s">
        <v>184</v>
      </c>
      <c r="E110" s="18">
        <v>44687</v>
      </c>
      <c r="F110" s="25">
        <v>17280</v>
      </c>
      <c r="G110" s="26">
        <v>-7739.72</v>
      </c>
      <c r="H110" s="26">
        <v>9540.2800000000007</v>
      </c>
    </row>
    <row r="111" spans="2:8" x14ac:dyDescent="0.35">
      <c r="B111" s="22" t="s">
        <v>7</v>
      </c>
      <c r="C111" s="22" t="s">
        <v>78</v>
      </c>
      <c r="D111" s="23" t="s">
        <v>79</v>
      </c>
      <c r="E111" s="18">
        <v>44719</v>
      </c>
      <c r="F111" s="25">
        <v>219000</v>
      </c>
      <c r="G111" s="26">
        <v>-94250.16</v>
      </c>
      <c r="H111" s="26">
        <v>124749.84</v>
      </c>
    </row>
    <row r="112" spans="2:8" x14ac:dyDescent="0.35">
      <c r="B112" s="22" t="s">
        <v>7</v>
      </c>
      <c r="C112" s="22" t="s">
        <v>253</v>
      </c>
      <c r="D112" s="23" t="s">
        <v>254</v>
      </c>
      <c r="E112" s="18">
        <v>44722</v>
      </c>
      <c r="F112" s="25">
        <v>299000</v>
      </c>
      <c r="G112" s="26">
        <v>-128187.94</v>
      </c>
      <c r="H112" s="26">
        <v>170812.06</v>
      </c>
    </row>
    <row r="113" spans="2:8" x14ac:dyDescent="0.35">
      <c r="B113" s="22" t="s">
        <v>7</v>
      </c>
      <c r="C113" s="22" t="s">
        <v>255</v>
      </c>
      <c r="D113" s="23" t="s">
        <v>256</v>
      </c>
      <c r="E113" s="18">
        <v>44729</v>
      </c>
      <c r="F113" s="25">
        <v>455000</v>
      </c>
      <c r="G113" s="26">
        <v>-193323.4</v>
      </c>
      <c r="H113" s="26">
        <v>261676.6</v>
      </c>
    </row>
    <row r="114" spans="2:8" x14ac:dyDescent="0.35">
      <c r="B114" s="22" t="s">
        <v>7</v>
      </c>
      <c r="C114" s="22" t="s">
        <v>257</v>
      </c>
      <c r="D114" s="23" t="s">
        <v>258</v>
      </c>
      <c r="E114" s="24"/>
      <c r="F114" s="25">
        <v>339000</v>
      </c>
      <c r="G114" s="26">
        <v>-144036.56</v>
      </c>
      <c r="H114" s="26">
        <v>194963.44</v>
      </c>
    </row>
    <row r="115" spans="2:8" x14ac:dyDescent="0.35">
      <c r="B115" s="22" t="s">
        <v>7</v>
      </c>
      <c r="C115" s="22" t="s">
        <v>80</v>
      </c>
      <c r="D115" s="23" t="s">
        <v>81</v>
      </c>
      <c r="E115" s="24">
        <v>44729</v>
      </c>
      <c r="F115" s="25">
        <v>399000</v>
      </c>
      <c r="G115" s="26">
        <v>-169529.75</v>
      </c>
      <c r="H115" s="26">
        <v>229470.25</v>
      </c>
    </row>
    <row r="116" spans="2:8" x14ac:dyDescent="0.35">
      <c r="B116" s="22" t="s">
        <v>7</v>
      </c>
      <c r="C116" s="22" t="s">
        <v>215</v>
      </c>
      <c r="D116" s="23" t="s">
        <v>216</v>
      </c>
      <c r="E116" s="18">
        <v>44732</v>
      </c>
      <c r="F116" s="25">
        <v>344000</v>
      </c>
      <c r="G116" s="26">
        <v>-145595.5</v>
      </c>
      <c r="H116" s="26">
        <v>198404.5</v>
      </c>
    </row>
    <row r="117" spans="2:8" x14ac:dyDescent="0.35">
      <c r="B117" s="22" t="s">
        <v>7</v>
      </c>
      <c r="C117" s="22" t="s">
        <v>185</v>
      </c>
      <c r="D117" s="23" t="s">
        <v>186</v>
      </c>
      <c r="E117" s="18">
        <v>44736</v>
      </c>
      <c r="F117" s="25">
        <v>448000</v>
      </c>
      <c r="G117" s="26">
        <v>-188630.84</v>
      </c>
      <c r="H117" s="26">
        <v>259369.16</v>
      </c>
    </row>
    <row r="118" spans="2:8" x14ac:dyDescent="0.35">
      <c r="B118" s="22" t="s">
        <v>7</v>
      </c>
      <c r="C118" s="22" t="s">
        <v>43</v>
      </c>
      <c r="D118" s="23" t="s">
        <v>44</v>
      </c>
      <c r="E118" s="24">
        <v>44736</v>
      </c>
      <c r="F118" s="25">
        <v>298000</v>
      </c>
      <c r="G118" s="26">
        <v>-125473.2</v>
      </c>
      <c r="H118" s="26">
        <v>172526.8</v>
      </c>
    </row>
    <row r="119" spans="2:8" x14ac:dyDescent="0.35">
      <c r="B119" s="22" t="s">
        <v>7</v>
      </c>
      <c r="C119" s="22" t="s">
        <v>187</v>
      </c>
      <c r="D119" s="23" t="s">
        <v>188</v>
      </c>
      <c r="E119" s="18">
        <v>44743</v>
      </c>
      <c r="F119" s="25">
        <v>168000</v>
      </c>
      <c r="G119" s="26">
        <v>-70092.179999999993</v>
      </c>
      <c r="H119" s="26">
        <v>97907.82</v>
      </c>
    </row>
    <row r="120" spans="2:8" x14ac:dyDescent="0.35">
      <c r="B120" s="22" t="s">
        <v>7</v>
      </c>
      <c r="C120" s="22" t="s">
        <v>189</v>
      </c>
      <c r="D120" s="23" t="s">
        <v>190</v>
      </c>
      <c r="E120" s="24">
        <v>44743</v>
      </c>
      <c r="F120" s="25">
        <v>133000</v>
      </c>
      <c r="G120" s="26">
        <v>-55489.65</v>
      </c>
      <c r="H120" s="26">
        <v>77510.350000000006</v>
      </c>
    </row>
    <row r="121" spans="2:8" x14ac:dyDescent="0.35">
      <c r="B121" s="22" t="s">
        <v>7</v>
      </c>
      <c r="C121" s="22" t="s">
        <v>217</v>
      </c>
      <c r="D121" s="23" t="s">
        <v>46</v>
      </c>
      <c r="E121" s="18">
        <v>44802</v>
      </c>
      <c r="F121" s="25">
        <v>4704</v>
      </c>
      <c r="G121" s="26">
        <v>-1810.5</v>
      </c>
      <c r="H121" s="26">
        <v>2893.5</v>
      </c>
    </row>
    <row r="122" spans="2:8" x14ac:dyDescent="0.35">
      <c r="B122" s="22" t="s">
        <v>7</v>
      </c>
      <c r="C122" s="22" t="s">
        <v>45</v>
      </c>
      <c r="D122" s="23" t="s">
        <v>46</v>
      </c>
      <c r="E122" s="24">
        <v>44802</v>
      </c>
      <c r="F122" s="25">
        <v>4704</v>
      </c>
      <c r="G122" s="26">
        <v>-1810.5</v>
      </c>
      <c r="H122" s="26">
        <v>2893.5</v>
      </c>
    </row>
    <row r="123" spans="2:8" x14ac:dyDescent="0.35">
      <c r="B123" s="22" t="s">
        <v>7</v>
      </c>
      <c r="C123" s="22" t="s">
        <v>127</v>
      </c>
      <c r="D123" s="23" t="s">
        <v>128</v>
      </c>
      <c r="E123" s="18">
        <v>44803</v>
      </c>
      <c r="F123" s="25">
        <v>1890000</v>
      </c>
      <c r="G123" s="26">
        <v>-726400.05</v>
      </c>
      <c r="H123" s="26">
        <v>1163599.95</v>
      </c>
    </row>
    <row r="124" spans="2:8" x14ac:dyDescent="0.35">
      <c r="B124" s="22" t="s">
        <v>7</v>
      </c>
      <c r="C124" s="22" t="s">
        <v>82</v>
      </c>
      <c r="D124" s="23" t="s">
        <v>83</v>
      </c>
      <c r="E124" s="24">
        <v>44803</v>
      </c>
      <c r="F124" s="25">
        <v>1698000</v>
      </c>
      <c r="G124" s="26">
        <v>-652607.03</v>
      </c>
      <c r="H124" s="26">
        <v>1045392.97</v>
      </c>
    </row>
    <row r="125" spans="2:8" x14ac:dyDescent="0.35">
      <c r="B125" s="22" t="s">
        <v>7</v>
      </c>
      <c r="C125" s="22" t="s">
        <v>129</v>
      </c>
      <c r="D125" s="23" t="s">
        <v>130</v>
      </c>
      <c r="E125" s="18">
        <v>44819</v>
      </c>
      <c r="F125" s="25">
        <v>30000</v>
      </c>
      <c r="G125" s="26">
        <v>-11267.14</v>
      </c>
      <c r="H125" s="26">
        <v>18732.86</v>
      </c>
    </row>
    <row r="126" spans="2:8" x14ac:dyDescent="0.35">
      <c r="B126" s="22" t="s">
        <v>7</v>
      </c>
      <c r="C126" s="22" t="s">
        <v>191</v>
      </c>
      <c r="D126" s="23" t="s">
        <v>130</v>
      </c>
      <c r="E126" s="24"/>
      <c r="F126" s="25">
        <v>30000</v>
      </c>
      <c r="G126" s="26">
        <v>-11267.14</v>
      </c>
      <c r="H126" s="26">
        <v>18732.86</v>
      </c>
    </row>
    <row r="127" spans="2:8" x14ac:dyDescent="0.35">
      <c r="B127" s="22" t="s">
        <v>7</v>
      </c>
      <c r="C127" s="22" t="s">
        <v>192</v>
      </c>
      <c r="D127" s="23" t="s">
        <v>193</v>
      </c>
      <c r="E127" s="24"/>
      <c r="F127" s="25">
        <v>3120</v>
      </c>
      <c r="G127" s="26">
        <v>-1171.79</v>
      </c>
      <c r="H127" s="26">
        <v>1948.21</v>
      </c>
    </row>
    <row r="128" spans="2:8" x14ac:dyDescent="0.35">
      <c r="B128" s="22" t="s">
        <v>7</v>
      </c>
      <c r="C128" s="22" t="s">
        <v>259</v>
      </c>
      <c r="D128" s="23" t="s">
        <v>193</v>
      </c>
      <c r="E128" s="24"/>
      <c r="F128" s="25">
        <v>3120</v>
      </c>
      <c r="G128" s="26">
        <v>-1171.79</v>
      </c>
      <c r="H128" s="26">
        <v>1948.21</v>
      </c>
    </row>
    <row r="129" spans="2:8" x14ac:dyDescent="0.35">
      <c r="B129" s="22" t="s">
        <v>7</v>
      </c>
      <c r="C129" s="22" t="s">
        <v>84</v>
      </c>
      <c r="D129" s="23" t="s">
        <v>85</v>
      </c>
      <c r="E129" s="24"/>
      <c r="F129" s="25">
        <v>3795</v>
      </c>
      <c r="G129" s="26">
        <v>-1425.29</v>
      </c>
      <c r="H129" s="26">
        <v>2369.71</v>
      </c>
    </row>
    <row r="130" spans="2:8" x14ac:dyDescent="0.35">
      <c r="B130" s="22" t="s">
        <v>7</v>
      </c>
      <c r="C130" s="22" t="s">
        <v>218</v>
      </c>
      <c r="D130" s="23" t="s">
        <v>85</v>
      </c>
      <c r="E130" s="24"/>
      <c r="F130" s="25">
        <v>3795</v>
      </c>
      <c r="G130" s="26">
        <v>-1425.29</v>
      </c>
      <c r="H130" s="26">
        <v>2369.71</v>
      </c>
    </row>
    <row r="131" spans="2:8" x14ac:dyDescent="0.35">
      <c r="B131" s="22" t="s">
        <v>7</v>
      </c>
      <c r="C131" s="22" t="s">
        <v>219</v>
      </c>
      <c r="D131" s="23" t="s">
        <v>220</v>
      </c>
      <c r="E131" s="24"/>
      <c r="F131" s="25">
        <v>21550</v>
      </c>
      <c r="G131" s="26">
        <v>-8093.57</v>
      </c>
      <c r="H131" s="26">
        <v>13456.43</v>
      </c>
    </row>
    <row r="132" spans="2:8" x14ac:dyDescent="0.35">
      <c r="B132" s="22" t="s">
        <v>7</v>
      </c>
      <c r="C132" s="22" t="s">
        <v>47</v>
      </c>
      <c r="D132" s="23" t="s">
        <v>48</v>
      </c>
      <c r="E132" s="24"/>
      <c r="F132" s="25">
        <v>32850</v>
      </c>
      <c r="G132" s="26">
        <v>-12337.52</v>
      </c>
      <c r="H132" s="26">
        <v>20512.48</v>
      </c>
    </row>
    <row r="133" spans="2:8" x14ac:dyDescent="0.35">
      <c r="B133" s="22" t="s">
        <v>7</v>
      </c>
      <c r="C133" s="22" t="s">
        <v>194</v>
      </c>
      <c r="D133" s="23" t="s">
        <v>195</v>
      </c>
      <c r="E133" s="24"/>
      <c r="F133" s="25">
        <v>41220</v>
      </c>
      <c r="G133" s="26">
        <v>-15481.06</v>
      </c>
      <c r="H133" s="26">
        <v>25738.94</v>
      </c>
    </row>
    <row r="134" spans="2:8" x14ac:dyDescent="0.35">
      <c r="B134" s="22" t="s">
        <v>7</v>
      </c>
      <c r="C134" s="22" t="s">
        <v>260</v>
      </c>
      <c r="D134" s="23" t="s">
        <v>87</v>
      </c>
      <c r="E134" s="24"/>
      <c r="F134" s="27">
        <v>765</v>
      </c>
      <c r="G134" s="14">
        <v>-287.31</v>
      </c>
      <c r="H134" s="14">
        <v>477.69</v>
      </c>
    </row>
    <row r="135" spans="2:8" x14ac:dyDescent="0.35">
      <c r="B135" s="22" t="s">
        <v>7</v>
      </c>
      <c r="C135" s="22" t="s">
        <v>86</v>
      </c>
      <c r="D135" s="23" t="s">
        <v>87</v>
      </c>
      <c r="E135" s="24"/>
      <c r="F135" s="27">
        <v>765</v>
      </c>
      <c r="G135" s="14">
        <v>-287.31</v>
      </c>
      <c r="H135" s="14">
        <v>477.69</v>
      </c>
    </row>
    <row r="136" spans="2:8" x14ac:dyDescent="0.35">
      <c r="B136" s="22" t="s">
        <v>7</v>
      </c>
      <c r="C136" s="22" t="s">
        <v>131</v>
      </c>
      <c r="D136" s="23" t="s">
        <v>132</v>
      </c>
      <c r="E136" s="24"/>
      <c r="F136" s="25">
        <v>8720</v>
      </c>
      <c r="G136" s="26">
        <v>-3274.98</v>
      </c>
      <c r="H136" s="26">
        <v>5445.02</v>
      </c>
    </row>
    <row r="137" spans="2:8" x14ac:dyDescent="0.35">
      <c r="B137" s="22" t="s">
        <v>7</v>
      </c>
      <c r="C137" s="22" t="s">
        <v>196</v>
      </c>
      <c r="D137" s="23" t="s">
        <v>132</v>
      </c>
      <c r="E137" s="24"/>
      <c r="F137" s="25">
        <v>8720</v>
      </c>
      <c r="G137" s="26">
        <v>-3274.98</v>
      </c>
      <c r="H137" s="26">
        <v>5445.02</v>
      </c>
    </row>
    <row r="138" spans="2:8" x14ac:dyDescent="0.35">
      <c r="B138" s="22" t="s">
        <v>7</v>
      </c>
      <c r="C138" s="22" t="s">
        <v>197</v>
      </c>
      <c r="D138" s="23" t="s">
        <v>198</v>
      </c>
      <c r="E138" s="24"/>
      <c r="F138" s="25">
        <v>25000</v>
      </c>
      <c r="G138" s="26">
        <v>-9389.2900000000009</v>
      </c>
      <c r="H138" s="26">
        <v>15610.71</v>
      </c>
    </row>
    <row r="139" spans="2:8" x14ac:dyDescent="0.35">
      <c r="B139" s="22" t="s">
        <v>7</v>
      </c>
      <c r="C139" s="22" t="s">
        <v>261</v>
      </c>
      <c r="D139" s="23" t="s">
        <v>262</v>
      </c>
      <c r="E139" s="24"/>
      <c r="F139" s="25">
        <v>22500</v>
      </c>
      <c r="G139" s="26">
        <v>-8450.36</v>
      </c>
      <c r="H139" s="26">
        <v>14049.64</v>
      </c>
    </row>
    <row r="140" spans="2:8" x14ac:dyDescent="0.35">
      <c r="B140" s="22" t="s">
        <v>7</v>
      </c>
      <c r="C140" s="22" t="s">
        <v>49</v>
      </c>
      <c r="D140" s="23" t="s">
        <v>50</v>
      </c>
      <c r="E140" s="24"/>
      <c r="F140" s="25">
        <v>2320</v>
      </c>
      <c r="G140" s="14">
        <v>-871.32</v>
      </c>
      <c r="H140" s="26">
        <v>1448.68</v>
      </c>
    </row>
    <row r="141" spans="2:8" x14ac:dyDescent="0.35">
      <c r="B141" s="22" t="s">
        <v>7</v>
      </c>
      <c r="C141" s="22" t="s">
        <v>133</v>
      </c>
      <c r="D141" s="23" t="s">
        <v>50</v>
      </c>
      <c r="E141" s="24">
        <v>44819</v>
      </c>
      <c r="F141" s="25">
        <v>2320</v>
      </c>
      <c r="G141" s="14">
        <v>-871.32</v>
      </c>
      <c r="H141" s="26">
        <v>1448.68</v>
      </c>
    </row>
    <row r="142" spans="2:8" x14ac:dyDescent="0.35">
      <c r="B142" s="22" t="s">
        <v>7</v>
      </c>
      <c r="C142" s="22" t="s">
        <v>263</v>
      </c>
      <c r="D142" s="23" t="s">
        <v>264</v>
      </c>
      <c r="E142" s="18">
        <v>44838</v>
      </c>
      <c r="F142" s="25">
        <v>169698.6</v>
      </c>
      <c r="G142" s="26">
        <v>-61967.24</v>
      </c>
      <c r="H142" s="26">
        <v>107731.36</v>
      </c>
    </row>
    <row r="143" spans="2:8" x14ac:dyDescent="0.35">
      <c r="B143" s="22" t="s">
        <v>7</v>
      </c>
      <c r="C143" s="22" t="s">
        <v>88</v>
      </c>
      <c r="D143" s="23" t="s">
        <v>89</v>
      </c>
      <c r="E143" s="18">
        <v>44872</v>
      </c>
      <c r="F143" s="25">
        <v>4365000</v>
      </c>
      <c r="G143" s="26">
        <v>-1512605.33</v>
      </c>
      <c r="H143" s="26">
        <v>2852394.67</v>
      </c>
    </row>
    <row r="144" spans="2:8" x14ac:dyDescent="0.35">
      <c r="B144" s="22" t="s">
        <v>7</v>
      </c>
      <c r="C144" s="22" t="s">
        <v>134</v>
      </c>
      <c r="D144" s="23" t="s">
        <v>135</v>
      </c>
      <c r="E144" s="18">
        <v>45061</v>
      </c>
      <c r="F144" s="25">
        <v>785000</v>
      </c>
      <c r="G144" s="26">
        <v>-190730.49</v>
      </c>
      <c r="H144" s="26">
        <v>594269.51</v>
      </c>
    </row>
    <row r="145" spans="2:8" x14ac:dyDescent="0.35">
      <c r="B145" s="22" t="s">
        <v>7</v>
      </c>
      <c r="C145" s="22" t="s">
        <v>199</v>
      </c>
      <c r="D145" s="23" t="s">
        <v>200</v>
      </c>
      <c r="E145" s="18">
        <v>45075</v>
      </c>
      <c r="F145" s="25">
        <v>22946.1</v>
      </c>
      <c r="G145" s="26">
        <v>-5399.17</v>
      </c>
      <c r="H145" s="26">
        <v>17546.93</v>
      </c>
    </row>
    <row r="146" spans="2:8" x14ac:dyDescent="0.35">
      <c r="B146" s="22" t="s">
        <v>7</v>
      </c>
      <c r="C146" s="22" t="s">
        <v>221</v>
      </c>
      <c r="D146" s="23" t="s">
        <v>222</v>
      </c>
      <c r="E146" s="18">
        <v>45369</v>
      </c>
      <c r="F146" s="25">
        <v>14900</v>
      </c>
      <c r="G146" s="26">
        <v>-1107.32</v>
      </c>
      <c r="H146" s="26">
        <v>13792.68</v>
      </c>
    </row>
    <row r="147" spans="2:8" x14ac:dyDescent="0.35">
      <c r="B147" s="22" t="s">
        <v>7</v>
      </c>
      <c r="C147" s="22" t="s">
        <v>223</v>
      </c>
      <c r="D147" s="23" t="s">
        <v>222</v>
      </c>
      <c r="E147" s="24"/>
      <c r="F147" s="25">
        <v>14900</v>
      </c>
      <c r="G147" s="26">
        <v>-1107.32</v>
      </c>
      <c r="H147" s="26">
        <v>13792.68</v>
      </c>
    </row>
    <row r="148" spans="2:8" x14ac:dyDescent="0.35">
      <c r="B148" s="22" t="s">
        <v>7</v>
      </c>
      <c r="C148" s="22" t="s">
        <v>136</v>
      </c>
      <c r="D148" s="23" t="s">
        <v>137</v>
      </c>
      <c r="E148" s="24">
        <v>45369</v>
      </c>
      <c r="F148" s="25">
        <v>25246.79</v>
      </c>
      <c r="G148" s="26">
        <v>-1876.26</v>
      </c>
      <c r="H148" s="26">
        <v>23370.53</v>
      </c>
    </row>
    <row r="149" spans="2:8" x14ac:dyDescent="0.35">
      <c r="B149" s="22" t="s">
        <v>7</v>
      </c>
      <c r="C149" s="22" t="s">
        <v>390</v>
      </c>
      <c r="D149" s="23" t="s">
        <v>391</v>
      </c>
      <c r="E149" s="18">
        <v>45376</v>
      </c>
      <c r="F149" s="25">
        <v>2140186.92</v>
      </c>
      <c r="G149" s="26">
        <v>-150865.64000000001</v>
      </c>
      <c r="H149" s="26">
        <v>1989321.28</v>
      </c>
    </row>
    <row r="150" spans="2:8" x14ac:dyDescent="0.35">
      <c r="B150" s="22" t="s">
        <v>7</v>
      </c>
      <c r="C150" s="22" t="s">
        <v>51</v>
      </c>
      <c r="D150" s="23" t="s">
        <v>52</v>
      </c>
      <c r="E150" s="18">
        <v>45380</v>
      </c>
      <c r="F150" s="25">
        <v>1064000</v>
      </c>
      <c r="G150" s="26">
        <v>-72677.600000000006</v>
      </c>
      <c r="H150" s="26">
        <v>991322.4</v>
      </c>
    </row>
    <row r="151" spans="2:8" x14ac:dyDescent="0.35">
      <c r="B151" s="22" t="s">
        <v>7</v>
      </c>
      <c r="C151" s="22" t="s">
        <v>90</v>
      </c>
      <c r="D151" s="23" t="s">
        <v>91</v>
      </c>
      <c r="E151" s="18">
        <v>45414</v>
      </c>
      <c r="F151" s="25">
        <v>300000</v>
      </c>
      <c r="G151" s="26">
        <v>-14918.03</v>
      </c>
      <c r="H151" s="26">
        <v>285081.96999999997</v>
      </c>
    </row>
    <row r="152" spans="2:8" x14ac:dyDescent="0.35">
      <c r="B152" s="22" t="s">
        <v>7</v>
      </c>
      <c r="C152" s="22" t="s">
        <v>53</v>
      </c>
      <c r="D152" s="23" t="s">
        <v>54</v>
      </c>
      <c r="E152" s="24"/>
      <c r="F152" s="25">
        <v>190000</v>
      </c>
      <c r="G152" s="26">
        <v>-9448.09</v>
      </c>
      <c r="H152" s="26">
        <v>180551.91</v>
      </c>
    </row>
    <row r="153" spans="2:8" x14ac:dyDescent="0.35">
      <c r="B153" s="22" t="s">
        <v>7</v>
      </c>
      <c r="C153" s="22" t="s">
        <v>224</v>
      </c>
      <c r="D153" s="23" t="s">
        <v>225</v>
      </c>
      <c r="E153" s="24">
        <v>45414</v>
      </c>
      <c r="F153" s="25">
        <v>340000</v>
      </c>
      <c r="G153" s="26">
        <v>-16907.099999999999</v>
      </c>
      <c r="H153" s="26">
        <v>323092.90000000002</v>
      </c>
    </row>
    <row r="154" spans="2:8" x14ac:dyDescent="0.35">
      <c r="B154" s="22" t="s">
        <v>7</v>
      </c>
      <c r="C154" s="22" t="s">
        <v>265</v>
      </c>
      <c r="D154" s="23" t="s">
        <v>266</v>
      </c>
      <c r="E154" s="18">
        <v>45460</v>
      </c>
      <c r="F154" s="25">
        <v>135000</v>
      </c>
      <c r="G154" s="26">
        <v>-3319.67</v>
      </c>
      <c r="H154" s="26">
        <v>131680.32999999999</v>
      </c>
    </row>
    <row r="155" spans="2:8" x14ac:dyDescent="0.35">
      <c r="B155" s="22" t="s">
        <v>7</v>
      </c>
      <c r="C155" s="22" t="s">
        <v>92</v>
      </c>
      <c r="D155" s="23" t="s">
        <v>93</v>
      </c>
      <c r="E155" s="24"/>
      <c r="F155" s="25">
        <v>225000</v>
      </c>
      <c r="G155" s="26">
        <v>-5532.79</v>
      </c>
      <c r="H155" s="26">
        <v>219467.21</v>
      </c>
    </row>
    <row r="156" spans="2:8" x14ac:dyDescent="0.35">
      <c r="B156" s="22" t="s">
        <v>7</v>
      </c>
      <c r="C156" s="22" t="s">
        <v>16</v>
      </c>
      <c r="D156" s="23" t="s">
        <v>17</v>
      </c>
      <c r="E156" s="28">
        <v>45460</v>
      </c>
      <c r="F156" s="25">
        <v>400000</v>
      </c>
      <c r="G156" s="26">
        <v>-9836.07</v>
      </c>
      <c r="H156" s="26">
        <v>390163.93</v>
      </c>
    </row>
  </sheetData>
  <mergeCells count="4">
    <mergeCell ref="J3:K4"/>
    <mergeCell ref="L3:Q4"/>
    <mergeCell ref="J5:K6"/>
    <mergeCell ref="L5:Q6"/>
  </mergeCells>
  <phoneticPr fontId="3" type="noConversion"/>
  <conditionalFormatting sqref="B1:H1048576">
    <cfRule type="expression" dxfId="5" priority="14">
      <formula>$H1&gt;1</formula>
    </cfRule>
  </conditionalFormatting>
  <conditionalFormatting sqref="C1:C1048576">
    <cfRule type="duplicateValues" dxfId="4" priority="7"/>
  </conditionalFormatting>
  <conditionalFormatting sqref="I1 K1">
    <cfRule type="expression" dxfId="3" priority="3">
      <formula>$A1="none"</formula>
    </cfRule>
  </conditionalFormatting>
  <conditionalFormatting sqref="A1:H1048576">
    <cfRule type="expression" dxfId="2" priority="15">
      <formula>AND($A1=$I$1,NOT(ISBLANK($A1)))</formula>
    </cfRule>
    <cfRule type="expression" dxfId="1" priority="16">
      <formula>AND($A1=$K$1,NOT(ISBLANK($A1)))</formula>
    </cfRule>
    <cfRule type="expression" dxfId="0" priority="17">
      <formula>$A1="none"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4F1EAF2-F1FA-4515-8B02-042BF3D3E41B}">
          <x14:formula1>
            <xm:f>Dropdown!$A:$A</xm:f>
          </x14:formula1>
          <xm:sqref>A1:A1048576 K1 I1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F99D0-768B-454D-AE3F-E09144B912F5}">
  <sheetPr codeName="Sheet2"/>
  <dimension ref="A1:F6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550285486</v>
      </c>
      <c r="C2" s="9" t="s">
        <v>27</v>
      </c>
      <c r="D2" s="10">
        <v>12000</v>
      </c>
      <c r="E2" s="11">
        <v>43538</v>
      </c>
      <c r="F2" s="12">
        <v>1</v>
      </c>
    </row>
    <row r="3" spans="1:6" ht="36" x14ac:dyDescent="0.35">
      <c r="A3" s="8">
        <v>2</v>
      </c>
      <c r="B3" s="8">
        <v>550285512</v>
      </c>
      <c r="C3" s="9" t="s">
        <v>204</v>
      </c>
      <c r="D3" s="10">
        <v>21000</v>
      </c>
      <c r="E3" s="11"/>
      <c r="F3" s="12">
        <v>1</v>
      </c>
    </row>
    <row r="4" spans="1:6" ht="18" x14ac:dyDescent="0.35">
      <c r="A4" s="8">
        <v>3</v>
      </c>
      <c r="B4" s="8">
        <v>550287240</v>
      </c>
      <c r="C4" s="9" t="s">
        <v>167</v>
      </c>
      <c r="D4" s="10">
        <v>8500</v>
      </c>
      <c r="E4" s="11">
        <v>43556</v>
      </c>
      <c r="F4" s="12">
        <v>1</v>
      </c>
    </row>
    <row r="5" spans="1:6" ht="18" x14ac:dyDescent="0.4">
      <c r="A5" s="2"/>
      <c r="B5" s="33" t="s">
        <v>394</v>
      </c>
      <c r="C5" s="34"/>
      <c r="D5" s="13">
        <f>SUM(D2:D4)</f>
        <v>41500</v>
      </c>
      <c r="E5" s="35"/>
      <c r="F5" s="35"/>
    </row>
    <row r="6" spans="1:6" x14ac:dyDescent="0.35">
      <c r="D6" s="1">
        <f>SUM(D2:D4)</f>
        <v>41500</v>
      </c>
    </row>
  </sheetData>
  <mergeCells count="1">
    <mergeCell ref="B5:C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F4D96-4FBE-4C1A-8539-57CA1AA4487D}">
  <sheetPr codeName="Sheet3"/>
  <dimension ref="A1:F7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550286099</v>
      </c>
      <c r="C2" s="9" t="s">
        <v>165</v>
      </c>
      <c r="D2" s="10">
        <v>300000</v>
      </c>
      <c r="E2" s="11">
        <v>43523</v>
      </c>
      <c r="F2" s="12">
        <v>1</v>
      </c>
    </row>
    <row r="3" spans="1:6" ht="36" x14ac:dyDescent="0.35">
      <c r="A3" s="8">
        <v>2</v>
      </c>
      <c r="B3" s="8">
        <v>550286117</v>
      </c>
      <c r="C3" s="9" t="s">
        <v>105</v>
      </c>
      <c r="D3" s="10">
        <v>95000</v>
      </c>
      <c r="E3" s="11">
        <v>43539</v>
      </c>
      <c r="F3" s="12">
        <v>1</v>
      </c>
    </row>
    <row r="4" spans="1:6" ht="18" x14ac:dyDescent="0.35">
      <c r="A4" s="8">
        <v>3</v>
      </c>
      <c r="B4" s="8">
        <v>550285979</v>
      </c>
      <c r="C4" s="9" t="s">
        <v>68</v>
      </c>
      <c r="D4" s="10">
        <v>25000</v>
      </c>
      <c r="E4" s="11">
        <v>43542</v>
      </c>
      <c r="F4" s="12">
        <v>1</v>
      </c>
    </row>
    <row r="5" spans="1:6" ht="36" x14ac:dyDescent="0.35">
      <c r="A5" s="8">
        <v>4</v>
      </c>
      <c r="B5" s="8">
        <v>550286398</v>
      </c>
      <c r="C5" s="9" t="s">
        <v>107</v>
      </c>
      <c r="D5" s="10">
        <v>74000</v>
      </c>
      <c r="E5" s="11">
        <v>43549</v>
      </c>
      <c r="F5" s="12">
        <v>1</v>
      </c>
    </row>
    <row r="6" spans="1:6" ht="18" x14ac:dyDescent="0.4">
      <c r="A6" s="2"/>
      <c r="B6" s="33" t="s">
        <v>394</v>
      </c>
      <c r="C6" s="34"/>
      <c r="D6" s="13">
        <f>SUM(D2:D5)</f>
        <v>494000</v>
      </c>
      <c r="E6" s="35"/>
      <c r="F6" s="35"/>
    </row>
    <row r="7" spans="1:6" x14ac:dyDescent="0.35">
      <c r="D7" s="1">
        <f>SUM(D2:D5)</f>
        <v>494000</v>
      </c>
    </row>
  </sheetData>
  <mergeCells count="1">
    <mergeCell ref="B6:C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465F9-7814-42EE-83BA-F740EE8FE8A1}">
  <sheetPr codeName="Sheet4"/>
  <dimension ref="A1:F7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550279475</v>
      </c>
      <c r="C2" s="9" t="s">
        <v>103</v>
      </c>
      <c r="D2" s="10">
        <v>390889.72</v>
      </c>
      <c r="E2" s="11">
        <v>43385</v>
      </c>
      <c r="F2" s="12">
        <v>1</v>
      </c>
    </row>
    <row r="3" spans="1:6" ht="36" x14ac:dyDescent="0.35">
      <c r="A3" s="8">
        <v>2</v>
      </c>
      <c r="B3" s="8">
        <v>550282709</v>
      </c>
      <c r="C3" s="9" t="s">
        <v>161</v>
      </c>
      <c r="D3" s="10">
        <v>17275.2</v>
      </c>
      <c r="E3" s="11">
        <v>43466</v>
      </c>
      <c r="F3" s="12">
        <v>1</v>
      </c>
    </row>
    <row r="4" spans="1:6" ht="36" x14ac:dyDescent="0.35">
      <c r="A4" s="8">
        <v>3</v>
      </c>
      <c r="B4" s="8">
        <v>550282710</v>
      </c>
      <c r="C4" s="9" t="s">
        <v>66</v>
      </c>
      <c r="D4" s="10">
        <v>14856</v>
      </c>
      <c r="E4" s="11"/>
      <c r="F4" s="12">
        <v>1</v>
      </c>
    </row>
    <row r="5" spans="1:6" ht="18" x14ac:dyDescent="0.35">
      <c r="A5" s="8">
        <v>4</v>
      </c>
      <c r="B5" s="8">
        <v>550282711</v>
      </c>
      <c r="C5" s="9" t="s">
        <v>163</v>
      </c>
      <c r="D5" s="10">
        <v>10824</v>
      </c>
      <c r="E5" s="11"/>
      <c r="F5" s="12">
        <v>1</v>
      </c>
    </row>
    <row r="6" spans="1:6" ht="18" x14ac:dyDescent="0.4">
      <c r="A6" s="2"/>
      <c r="B6" s="33" t="s">
        <v>394</v>
      </c>
      <c r="C6" s="34"/>
      <c r="D6" s="13">
        <f>SUM(D2:D5)</f>
        <v>433844.92</v>
      </c>
      <c r="E6" s="35"/>
      <c r="F6" s="35"/>
    </row>
    <row r="7" spans="1:6" x14ac:dyDescent="0.35">
      <c r="D7" s="1">
        <f>SUM(D2:D5)</f>
        <v>433844.92</v>
      </c>
    </row>
  </sheetData>
  <mergeCells count="1">
    <mergeCell ref="B6:C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4528-C4FB-4843-96A0-39162F3F6F30}">
  <sheetPr codeName="Sheet5"/>
  <dimension ref="A1:F6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550269782</v>
      </c>
      <c r="C2" s="9" t="s">
        <v>25</v>
      </c>
      <c r="D2" s="10">
        <v>3312.6</v>
      </c>
      <c r="E2" s="11">
        <v>43126</v>
      </c>
      <c r="F2" s="12">
        <v>1</v>
      </c>
    </row>
    <row r="3" spans="1:6" ht="54" x14ac:dyDescent="0.35">
      <c r="A3" s="8">
        <v>2</v>
      </c>
      <c r="B3" s="8">
        <v>550282712</v>
      </c>
      <c r="C3" s="9" t="s">
        <v>239</v>
      </c>
      <c r="D3" s="10">
        <v>12000</v>
      </c>
      <c r="E3" s="11">
        <v>43466</v>
      </c>
      <c r="F3" s="12">
        <v>1</v>
      </c>
    </row>
    <row r="4" spans="1:6" ht="36" x14ac:dyDescent="0.35">
      <c r="A4" s="8">
        <v>3</v>
      </c>
      <c r="B4" s="8">
        <v>550285530</v>
      </c>
      <c r="C4" s="9" t="s">
        <v>206</v>
      </c>
      <c r="D4" s="10">
        <v>14500</v>
      </c>
      <c r="E4" s="11">
        <v>43538</v>
      </c>
      <c r="F4" s="12">
        <v>1</v>
      </c>
    </row>
    <row r="5" spans="1:6" ht="18" x14ac:dyDescent="0.4">
      <c r="A5" s="2"/>
      <c r="B5" s="33" t="s">
        <v>394</v>
      </c>
      <c r="C5" s="34"/>
      <c r="D5" s="13">
        <f>SUM(D2:D4)</f>
        <v>29812.6</v>
      </c>
      <c r="E5" s="35"/>
      <c r="F5" s="35"/>
    </row>
    <row r="6" spans="1:6" x14ac:dyDescent="0.35">
      <c r="D6" s="1">
        <f>SUM(D2:D4)</f>
        <v>29812.6</v>
      </c>
    </row>
  </sheetData>
  <mergeCells count="1">
    <mergeCell ref="B5:C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9111-A4C3-4BEB-AAC6-5719993ACE16}">
  <sheetPr codeName="Sheet6"/>
  <dimension ref="A1:F6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35">
      <c r="A2" s="8">
        <v>1</v>
      </c>
      <c r="B2" s="8">
        <v>550269778</v>
      </c>
      <c r="C2" s="9" t="s">
        <v>60</v>
      </c>
      <c r="D2" s="10">
        <v>2750</v>
      </c>
      <c r="E2" s="11">
        <v>43126</v>
      </c>
      <c r="F2" s="12">
        <v>1</v>
      </c>
    </row>
    <row r="3" spans="1:6" ht="18" x14ac:dyDescent="0.35">
      <c r="A3" s="8">
        <v>2</v>
      </c>
      <c r="B3" s="8">
        <v>550269780</v>
      </c>
      <c r="C3" s="9" t="s">
        <v>21</v>
      </c>
      <c r="D3" s="10">
        <v>8685</v>
      </c>
      <c r="E3" s="11"/>
      <c r="F3" s="12">
        <v>1</v>
      </c>
    </row>
    <row r="4" spans="1:6" ht="36" x14ac:dyDescent="0.35">
      <c r="A4" s="8">
        <v>3</v>
      </c>
      <c r="B4" s="8">
        <v>550269781</v>
      </c>
      <c r="C4" s="9" t="s">
        <v>23</v>
      </c>
      <c r="D4" s="10">
        <v>10800</v>
      </c>
      <c r="E4" s="11"/>
      <c r="F4" s="12">
        <v>1</v>
      </c>
    </row>
    <row r="5" spans="1:6" ht="18" x14ac:dyDescent="0.4">
      <c r="A5" s="2"/>
      <c r="B5" s="33" t="s">
        <v>394</v>
      </c>
      <c r="C5" s="34"/>
      <c r="D5" s="13">
        <f>SUM(D2:D4)</f>
        <v>22235</v>
      </c>
      <c r="E5" s="35"/>
      <c r="F5" s="35"/>
    </row>
    <row r="6" spans="1:6" x14ac:dyDescent="0.35">
      <c r="D6" s="1">
        <f>SUM(D2:D4)</f>
        <v>22235</v>
      </c>
    </row>
  </sheetData>
  <mergeCells count="1">
    <mergeCell ref="B5:C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8C9E-120B-4AEC-8D26-AA1E8B605148}">
  <sheetPr codeName="Sheet7"/>
  <dimension ref="A1:F7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550269793</v>
      </c>
      <c r="C2" s="9" t="s">
        <v>58</v>
      </c>
      <c r="D2" s="10">
        <v>83850</v>
      </c>
      <c r="E2" s="11">
        <v>43123</v>
      </c>
      <c r="F2" s="12">
        <v>1</v>
      </c>
    </row>
    <row r="3" spans="1:6" ht="36" x14ac:dyDescent="0.35">
      <c r="A3" s="8">
        <v>2</v>
      </c>
      <c r="B3" s="8">
        <v>550271719</v>
      </c>
      <c r="C3" s="9" t="s">
        <v>235</v>
      </c>
      <c r="D3" s="10">
        <v>235000</v>
      </c>
      <c r="E3" s="11">
        <v>43165</v>
      </c>
      <c r="F3" s="12">
        <v>1</v>
      </c>
    </row>
    <row r="4" spans="1:6" ht="36" x14ac:dyDescent="0.35">
      <c r="A4" s="8">
        <v>3</v>
      </c>
      <c r="B4" s="8">
        <v>550274797</v>
      </c>
      <c r="C4" s="9" t="s">
        <v>64</v>
      </c>
      <c r="D4" s="10">
        <v>153000</v>
      </c>
      <c r="E4" s="11">
        <v>43235</v>
      </c>
      <c r="F4" s="12">
        <v>1</v>
      </c>
    </row>
    <row r="5" spans="1:6" ht="36" x14ac:dyDescent="0.35">
      <c r="A5" s="8">
        <v>4</v>
      </c>
      <c r="B5" s="8">
        <v>550277664</v>
      </c>
      <c r="C5" s="9" t="s">
        <v>237</v>
      </c>
      <c r="D5" s="10">
        <v>432000</v>
      </c>
      <c r="E5" s="11">
        <v>43322</v>
      </c>
      <c r="F5" s="12">
        <v>1</v>
      </c>
    </row>
    <row r="6" spans="1:6" ht="18" x14ac:dyDescent="0.4">
      <c r="A6" s="2"/>
      <c r="B6" s="33" t="s">
        <v>394</v>
      </c>
      <c r="C6" s="34"/>
      <c r="D6" s="13">
        <f>SUM(D2:D5)</f>
        <v>903850</v>
      </c>
      <c r="E6" s="35"/>
      <c r="F6" s="35"/>
    </row>
    <row r="7" spans="1:6" x14ac:dyDescent="0.35">
      <c r="D7" s="1">
        <f>SUM(D2:D5)</f>
        <v>903850</v>
      </c>
    </row>
  </sheetData>
  <mergeCells count="1">
    <mergeCell ref="B6:C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FD24F-802D-495F-BE54-B94E4AA46531}">
  <sheetPr codeName="Sheet8"/>
  <dimension ref="A1:F7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54" x14ac:dyDescent="0.35">
      <c r="A2" s="8">
        <v>1</v>
      </c>
      <c r="B2" s="8">
        <v>550258316</v>
      </c>
      <c r="C2" s="9" t="s">
        <v>157</v>
      </c>
      <c r="D2" s="10">
        <v>233500</v>
      </c>
      <c r="E2" s="11">
        <v>42736</v>
      </c>
      <c r="F2" s="12">
        <v>1</v>
      </c>
    </row>
    <row r="3" spans="1:6" ht="54" x14ac:dyDescent="0.35">
      <c r="A3" s="8">
        <v>2</v>
      </c>
      <c r="B3" s="8">
        <v>550258317</v>
      </c>
      <c r="C3" s="9" t="s">
        <v>157</v>
      </c>
      <c r="D3" s="10">
        <v>233500</v>
      </c>
      <c r="E3" s="11">
        <v>42736</v>
      </c>
      <c r="F3" s="12">
        <v>1</v>
      </c>
    </row>
    <row r="4" spans="1:6" ht="36" x14ac:dyDescent="0.35">
      <c r="A4" s="8">
        <v>3</v>
      </c>
      <c r="B4" s="8">
        <v>550268365</v>
      </c>
      <c r="C4" s="9" t="s">
        <v>19</v>
      </c>
      <c r="D4" s="10">
        <v>543000</v>
      </c>
      <c r="E4" s="11">
        <v>43091</v>
      </c>
      <c r="F4" s="12">
        <v>1</v>
      </c>
    </row>
    <row r="5" spans="1:6" ht="36" x14ac:dyDescent="0.35">
      <c r="A5" s="8">
        <v>4</v>
      </c>
      <c r="B5" s="8">
        <v>550269779</v>
      </c>
      <c r="C5" s="9" t="s">
        <v>62</v>
      </c>
      <c r="D5" s="10">
        <v>33316</v>
      </c>
      <c r="E5" s="11"/>
      <c r="F5" s="12">
        <v>1</v>
      </c>
    </row>
    <row r="6" spans="1:6" ht="18" x14ac:dyDescent="0.4">
      <c r="A6" s="2"/>
      <c r="B6" s="33" t="s">
        <v>394</v>
      </c>
      <c r="C6" s="34"/>
      <c r="D6" s="13">
        <f>SUM(D2:D5)</f>
        <v>1043316</v>
      </c>
      <c r="E6" s="35"/>
      <c r="F6" s="35"/>
    </row>
    <row r="7" spans="1:6" x14ac:dyDescent="0.35">
      <c r="D7" s="1">
        <f>SUM(D2:D5)</f>
        <v>1043316</v>
      </c>
    </row>
  </sheetData>
  <mergeCells count="1">
    <mergeCell ref="B6:C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CA7B-D496-43EB-8E7B-7869FCEDACC2}">
  <sheetPr codeName="Sheet9"/>
  <dimension ref="A1:F7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550252858</v>
      </c>
      <c r="C2" s="9" t="s">
        <v>229</v>
      </c>
      <c r="D2" s="10">
        <v>2500</v>
      </c>
      <c r="E2" s="11"/>
      <c r="F2" s="12">
        <v>1</v>
      </c>
    </row>
    <row r="3" spans="1:6" ht="36" x14ac:dyDescent="0.35">
      <c r="A3" s="8">
        <v>2</v>
      </c>
      <c r="B3" s="8">
        <v>550252856</v>
      </c>
      <c r="C3" s="9" t="s">
        <v>9</v>
      </c>
      <c r="D3" s="10">
        <v>12000</v>
      </c>
      <c r="E3" s="11">
        <v>42702</v>
      </c>
      <c r="F3" s="12">
        <v>1</v>
      </c>
    </row>
    <row r="4" spans="1:6" ht="36" x14ac:dyDescent="0.35">
      <c r="A4" s="8">
        <v>3</v>
      </c>
      <c r="B4" s="8">
        <v>550257226</v>
      </c>
      <c r="C4" s="9" t="s">
        <v>202</v>
      </c>
      <c r="D4" s="10">
        <v>49198.11</v>
      </c>
      <c r="E4" s="11">
        <v>42781</v>
      </c>
      <c r="F4" s="12">
        <v>1</v>
      </c>
    </row>
    <row r="5" spans="1:6" ht="36" x14ac:dyDescent="0.35">
      <c r="A5" s="8">
        <v>4</v>
      </c>
      <c r="B5" s="8">
        <v>550265950</v>
      </c>
      <c r="C5" s="9" t="s">
        <v>159</v>
      </c>
      <c r="D5" s="10">
        <v>1495.33</v>
      </c>
      <c r="E5" s="11">
        <v>43059</v>
      </c>
      <c r="F5" s="12">
        <v>1</v>
      </c>
    </row>
    <row r="6" spans="1:6" ht="18" x14ac:dyDescent="0.4">
      <c r="A6" s="2"/>
      <c r="B6" s="33" t="s">
        <v>394</v>
      </c>
      <c r="C6" s="34"/>
      <c r="D6" s="13">
        <f>SUM(D2:D5)</f>
        <v>65193.440000000002</v>
      </c>
      <c r="E6" s="35"/>
      <c r="F6" s="35"/>
    </row>
    <row r="7" spans="1:6" x14ac:dyDescent="0.35">
      <c r="D7" s="1">
        <f>SUM(D2:D5)</f>
        <v>65193.440000000002</v>
      </c>
    </row>
  </sheetData>
  <mergeCells count="1">
    <mergeCell ref="B6:C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8D2E-AC3E-4AB3-A87C-9F22BCD129FD}">
  <sheetPr codeName="Sheet10"/>
  <dimension ref="A1:F7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35">
      <c r="A2" s="8">
        <v>1</v>
      </c>
      <c r="B2" s="8">
        <v>550248702</v>
      </c>
      <c r="C2" s="9" t="s">
        <v>145</v>
      </c>
      <c r="D2" s="10">
        <v>149500</v>
      </c>
      <c r="E2" s="11">
        <v>42481</v>
      </c>
      <c r="F2" s="12">
        <v>1</v>
      </c>
    </row>
    <row r="3" spans="1:6" ht="18" x14ac:dyDescent="0.35">
      <c r="A3" s="8">
        <v>2</v>
      </c>
      <c r="B3" s="8">
        <v>550250318</v>
      </c>
      <c r="C3" s="9" t="s">
        <v>99</v>
      </c>
      <c r="D3" s="10">
        <v>30500</v>
      </c>
      <c r="E3" s="11">
        <v>42549</v>
      </c>
      <c r="F3" s="12">
        <v>1</v>
      </c>
    </row>
    <row r="4" spans="1:6" ht="36" x14ac:dyDescent="0.35">
      <c r="A4" s="8">
        <v>3</v>
      </c>
      <c r="B4" s="8">
        <v>550252859</v>
      </c>
      <c r="C4" s="9" t="s">
        <v>153</v>
      </c>
      <c r="D4" s="10">
        <v>6900</v>
      </c>
      <c r="E4" s="11"/>
      <c r="F4" s="12">
        <v>1</v>
      </c>
    </row>
    <row r="5" spans="1:6" ht="18" x14ac:dyDescent="0.35">
      <c r="A5" s="8">
        <v>4</v>
      </c>
      <c r="B5" s="8">
        <v>550252860</v>
      </c>
      <c r="C5" s="9" t="s">
        <v>155</v>
      </c>
      <c r="D5" s="10">
        <v>8000</v>
      </c>
      <c r="E5" s="11">
        <v>42696</v>
      </c>
      <c r="F5" s="12">
        <v>1</v>
      </c>
    </row>
    <row r="6" spans="1:6" ht="18" x14ac:dyDescent="0.4">
      <c r="A6" s="2"/>
      <c r="B6" s="33" t="s">
        <v>394</v>
      </c>
      <c r="C6" s="34"/>
      <c r="D6" s="13">
        <f>SUM(D2:D5)</f>
        <v>194900</v>
      </c>
      <c r="E6" s="35"/>
      <c r="F6" s="35"/>
    </row>
    <row r="7" spans="1:6" x14ac:dyDescent="0.35">
      <c r="D7" s="1">
        <f>SUM(D2:D5)</f>
        <v>194900</v>
      </c>
    </row>
  </sheetData>
  <mergeCells count="1">
    <mergeCell ref="B6:C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95B50-55DF-49F4-B96F-1BBF0668DF29}">
  <sheetPr codeName="Sheet11"/>
  <dimension ref="A1:F8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35">
      <c r="A2" s="8">
        <v>1</v>
      </c>
      <c r="B2" s="8">
        <v>550247815</v>
      </c>
      <c r="C2" s="9" t="s">
        <v>143</v>
      </c>
      <c r="D2" s="10">
        <v>11000</v>
      </c>
      <c r="E2" s="11">
        <v>42451</v>
      </c>
      <c r="F2" s="12">
        <v>1</v>
      </c>
    </row>
    <row r="3" spans="1:6" ht="18" x14ac:dyDescent="0.35">
      <c r="A3" s="8">
        <v>2</v>
      </c>
      <c r="B3" s="8">
        <v>550247816</v>
      </c>
      <c r="C3" s="9" t="s">
        <v>227</v>
      </c>
      <c r="D3" s="10">
        <v>6500</v>
      </c>
      <c r="E3" s="11">
        <v>42451</v>
      </c>
      <c r="F3" s="12">
        <v>1</v>
      </c>
    </row>
    <row r="4" spans="1:6" ht="36" x14ac:dyDescent="0.35">
      <c r="A4" s="8">
        <v>3</v>
      </c>
      <c r="B4" s="8">
        <v>550250518</v>
      </c>
      <c r="C4" s="9" t="s">
        <v>101</v>
      </c>
      <c r="D4" s="10">
        <v>69030</v>
      </c>
      <c r="E4" s="11">
        <v>42591</v>
      </c>
      <c r="F4" s="12">
        <v>1</v>
      </c>
    </row>
    <row r="5" spans="1:6" ht="36" x14ac:dyDescent="0.35">
      <c r="A5" s="8">
        <v>4</v>
      </c>
      <c r="B5" s="8">
        <v>550252855</v>
      </c>
      <c r="C5" s="9" t="s">
        <v>149</v>
      </c>
      <c r="D5" s="10">
        <v>37500</v>
      </c>
      <c r="E5" s="11">
        <v>42696</v>
      </c>
      <c r="F5" s="12">
        <v>1</v>
      </c>
    </row>
    <row r="6" spans="1:6" ht="36" x14ac:dyDescent="0.35">
      <c r="A6" s="8">
        <v>5</v>
      </c>
      <c r="B6" s="8">
        <v>550252857</v>
      </c>
      <c r="C6" s="9" t="s">
        <v>151</v>
      </c>
      <c r="D6" s="10">
        <v>22500</v>
      </c>
      <c r="E6" s="11"/>
      <c r="F6" s="12">
        <v>1</v>
      </c>
    </row>
    <row r="7" spans="1:6" ht="18" x14ac:dyDescent="0.4">
      <c r="A7" s="2"/>
      <c r="B7" s="33" t="s">
        <v>394</v>
      </c>
      <c r="C7" s="34"/>
      <c r="D7" s="13">
        <f>SUM(D2:D6)</f>
        <v>146530</v>
      </c>
      <c r="E7" s="35"/>
      <c r="F7" s="35"/>
    </row>
    <row r="8" spans="1:6" x14ac:dyDescent="0.35">
      <c r="D8" s="1">
        <f>SUM(D2:D6)</f>
        <v>146530</v>
      </c>
    </row>
  </sheetData>
  <mergeCells count="1">
    <mergeCell ref="B7:C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6F97-D6E5-42D5-BDDB-9B661F4DB490}">
  <sheetPr codeName="Sheet12"/>
  <dimension ref="A1:F7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550233051</v>
      </c>
      <c r="C2" s="9" t="s">
        <v>95</v>
      </c>
      <c r="D2" s="10">
        <v>117000</v>
      </c>
      <c r="E2" s="11">
        <v>42023</v>
      </c>
      <c r="F2" s="12">
        <v>1</v>
      </c>
    </row>
    <row r="3" spans="1:6" ht="18" x14ac:dyDescent="0.35">
      <c r="A3" s="8">
        <v>2</v>
      </c>
      <c r="B3" s="8">
        <v>550233053</v>
      </c>
      <c r="C3" s="9" t="s">
        <v>141</v>
      </c>
      <c r="D3" s="10">
        <v>331500</v>
      </c>
      <c r="E3" s="11">
        <v>42023</v>
      </c>
      <c r="F3" s="12">
        <v>1</v>
      </c>
    </row>
    <row r="4" spans="1:6" ht="36" x14ac:dyDescent="0.35">
      <c r="A4" s="8">
        <v>3</v>
      </c>
      <c r="B4" s="8">
        <v>550308175</v>
      </c>
      <c r="C4" s="9" t="s">
        <v>56</v>
      </c>
      <c r="D4" s="10">
        <v>34650</v>
      </c>
      <c r="E4" s="11">
        <v>42304</v>
      </c>
      <c r="F4" s="12">
        <v>1</v>
      </c>
    </row>
    <row r="5" spans="1:6" ht="54" x14ac:dyDescent="0.35">
      <c r="A5" s="8">
        <v>4</v>
      </c>
      <c r="B5" s="8">
        <v>550241724</v>
      </c>
      <c r="C5" s="9" t="s">
        <v>97</v>
      </c>
      <c r="D5" s="10">
        <v>115000</v>
      </c>
      <c r="E5" s="11">
        <v>42331</v>
      </c>
      <c r="F5" s="12">
        <v>1</v>
      </c>
    </row>
    <row r="6" spans="1:6" ht="18" x14ac:dyDescent="0.4">
      <c r="A6" s="2"/>
      <c r="B6" s="33" t="s">
        <v>394</v>
      </c>
      <c r="C6" s="34"/>
      <c r="D6" s="13">
        <f>SUM(D2:D5)</f>
        <v>598150</v>
      </c>
      <c r="E6" s="35"/>
      <c r="F6" s="35"/>
    </row>
    <row r="7" spans="1:6" x14ac:dyDescent="0.35">
      <c r="D7" s="1">
        <f>SUM(D2:D5)</f>
        <v>598150</v>
      </c>
    </row>
  </sheetData>
  <mergeCells count="1">
    <mergeCell ref="B6:C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21BC4-E945-4706-B7C4-BE4EA06BFF02}">
  <sheetPr codeName="Sheet13"/>
  <dimension ref="A1:F9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54" x14ac:dyDescent="0.35">
      <c r="A2" s="8">
        <v>1</v>
      </c>
      <c r="B2" s="8">
        <v>532178659</v>
      </c>
      <c r="C2" s="9" t="s">
        <v>232</v>
      </c>
      <c r="D2" s="10">
        <v>23100</v>
      </c>
      <c r="E2" s="11">
        <v>42835</v>
      </c>
      <c r="F2" s="12">
        <v>1</v>
      </c>
    </row>
    <row r="3" spans="1:6" ht="54" x14ac:dyDescent="0.35">
      <c r="A3" s="8">
        <v>2</v>
      </c>
      <c r="B3" s="8">
        <v>532178659</v>
      </c>
      <c r="C3" s="9" t="s">
        <v>233</v>
      </c>
      <c r="D3" s="10">
        <v>6940</v>
      </c>
      <c r="E3" s="11">
        <v>42835</v>
      </c>
      <c r="F3" s="12">
        <v>1</v>
      </c>
    </row>
    <row r="4" spans="1:6" ht="54" x14ac:dyDescent="0.35">
      <c r="A4" s="8">
        <v>3</v>
      </c>
      <c r="B4" s="8">
        <v>532184532</v>
      </c>
      <c r="C4" s="9" t="s">
        <v>11</v>
      </c>
      <c r="D4" s="10">
        <v>3860</v>
      </c>
      <c r="E4" s="11">
        <v>42978</v>
      </c>
      <c r="F4" s="12">
        <v>1</v>
      </c>
    </row>
    <row r="5" spans="1:6" ht="72" x14ac:dyDescent="0.35">
      <c r="A5" s="8">
        <v>4</v>
      </c>
      <c r="B5" s="8">
        <v>532191939</v>
      </c>
      <c r="C5" s="9" t="s">
        <v>241</v>
      </c>
      <c r="D5" s="10">
        <v>2205</v>
      </c>
      <c r="E5" s="11">
        <v>43468</v>
      </c>
      <c r="F5" s="12">
        <v>1</v>
      </c>
    </row>
    <row r="6" spans="1:6" ht="18" x14ac:dyDescent="0.35">
      <c r="A6" s="8">
        <v>5</v>
      </c>
      <c r="B6" s="8">
        <v>532202079</v>
      </c>
      <c r="C6" s="9" t="s">
        <v>109</v>
      </c>
      <c r="D6" s="10">
        <v>25000</v>
      </c>
      <c r="E6" s="11">
        <v>43670</v>
      </c>
      <c r="F6" s="12">
        <v>1</v>
      </c>
    </row>
    <row r="7" spans="1:6" ht="36" x14ac:dyDescent="0.35">
      <c r="A7" s="8">
        <v>6</v>
      </c>
      <c r="B7" s="8">
        <v>532202079</v>
      </c>
      <c r="C7" s="9" t="s">
        <v>110</v>
      </c>
      <c r="D7" s="10">
        <v>4600</v>
      </c>
      <c r="E7" s="11">
        <v>43670</v>
      </c>
      <c r="F7" s="12">
        <v>1</v>
      </c>
    </row>
    <row r="8" spans="1:6" ht="18" x14ac:dyDescent="0.4">
      <c r="A8" s="2"/>
      <c r="B8" s="33" t="s">
        <v>394</v>
      </c>
      <c r="C8" s="34"/>
      <c r="D8" s="13">
        <f>SUM(D2:D7)</f>
        <v>65705</v>
      </c>
      <c r="E8" s="35"/>
      <c r="F8" s="35"/>
    </row>
    <row r="9" spans="1:6" x14ac:dyDescent="0.35">
      <c r="D9" s="1">
        <f>SUM(D2:D7)</f>
        <v>65705</v>
      </c>
    </row>
  </sheetData>
  <mergeCells count="1">
    <mergeCell ref="B8:C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E8B3-D202-4E15-9F3C-D1105CE72F6F}">
  <sheetPr codeName="Sheet14"/>
  <dimension ref="A1:F6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35">
      <c r="A2" s="8">
        <v>1</v>
      </c>
      <c r="B2" s="8">
        <v>532167104</v>
      </c>
      <c r="C2" s="9" t="s">
        <v>380</v>
      </c>
      <c r="D2" s="10">
        <v>20088</v>
      </c>
      <c r="E2" s="11"/>
      <c r="F2" s="12">
        <v>1</v>
      </c>
    </row>
    <row r="3" spans="1:6" ht="36" x14ac:dyDescent="0.35">
      <c r="A3" s="8">
        <v>2</v>
      </c>
      <c r="B3" s="8">
        <v>532167104</v>
      </c>
      <c r="C3" s="9" t="s">
        <v>381</v>
      </c>
      <c r="D3" s="10">
        <v>3637</v>
      </c>
      <c r="E3" s="11">
        <v>42598</v>
      </c>
      <c r="F3" s="12">
        <v>1</v>
      </c>
    </row>
    <row r="4" spans="1:6" ht="36" x14ac:dyDescent="0.35">
      <c r="A4" s="8">
        <v>3</v>
      </c>
      <c r="B4" s="8">
        <v>532171036</v>
      </c>
      <c r="C4" s="9" t="s">
        <v>147</v>
      </c>
      <c r="D4" s="10">
        <v>17445</v>
      </c>
      <c r="E4" s="11">
        <v>42690</v>
      </c>
      <c r="F4" s="12">
        <v>1</v>
      </c>
    </row>
    <row r="5" spans="1:6" ht="18" x14ac:dyDescent="0.4">
      <c r="A5" s="2"/>
      <c r="B5" s="33" t="s">
        <v>394</v>
      </c>
      <c r="C5" s="34"/>
      <c r="D5" s="13">
        <f>SUM(D2:D4)</f>
        <v>41170</v>
      </c>
      <c r="E5" s="35"/>
      <c r="F5" s="35"/>
    </row>
    <row r="6" spans="1:6" x14ac:dyDescent="0.35">
      <c r="D6" s="1">
        <f>SUM(D2:D4)</f>
        <v>41170</v>
      </c>
    </row>
  </sheetData>
  <mergeCells count="1">
    <mergeCell ref="B5:C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B56C9-D7A4-4DA9-B9AE-846907E36ECC}">
  <sheetPr codeName="Sheet15"/>
  <dimension ref="A1:F8"/>
  <sheetViews>
    <sheetView workbookViewId="0"/>
  </sheetViews>
  <sheetFormatPr defaultRowHeight="14.5" x14ac:dyDescent="0.35"/>
  <cols>
    <col min="1" max="1" width="3.1796875" customWidth="1"/>
    <col min="2" max="3" width="18.6328125" customWidth="1"/>
    <col min="4" max="4" width="13.6328125" customWidth="1"/>
    <col min="5" max="5" width="18.6328125" customWidth="1"/>
    <col min="6" max="6" width="10.6328125" customWidth="1"/>
  </cols>
  <sheetData>
    <row r="1" spans="1:6" ht="18" x14ac:dyDescent="0.3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54" x14ac:dyDescent="0.35">
      <c r="A2" s="8">
        <v>1</v>
      </c>
      <c r="B2" s="8">
        <v>532247282</v>
      </c>
      <c r="C2" s="9" t="s">
        <v>375</v>
      </c>
      <c r="D2" s="10">
        <v>29380</v>
      </c>
      <c r="E2" s="11">
        <v>41318</v>
      </c>
      <c r="F2" s="12">
        <v>1</v>
      </c>
    </row>
    <row r="3" spans="1:6" ht="18" x14ac:dyDescent="0.35">
      <c r="A3" s="8">
        <v>2</v>
      </c>
      <c r="B3" s="8">
        <v>532247282</v>
      </c>
      <c r="C3" s="9" t="s">
        <v>376</v>
      </c>
      <c r="D3" s="10">
        <v>4800</v>
      </c>
      <c r="E3" s="11">
        <v>41318</v>
      </c>
      <c r="F3" s="12">
        <v>1</v>
      </c>
    </row>
    <row r="4" spans="1:6" ht="36" x14ac:dyDescent="0.35">
      <c r="A4" s="8">
        <v>3</v>
      </c>
      <c r="B4" s="8">
        <v>532247291</v>
      </c>
      <c r="C4" s="9" t="s">
        <v>139</v>
      </c>
      <c r="D4" s="10">
        <v>28495</v>
      </c>
      <c r="E4" s="11">
        <v>41710</v>
      </c>
      <c r="F4" s="12">
        <v>1</v>
      </c>
    </row>
    <row r="5" spans="1:6" ht="36" x14ac:dyDescent="0.35">
      <c r="A5" s="8">
        <v>4</v>
      </c>
      <c r="B5" s="8">
        <v>532166811</v>
      </c>
      <c r="C5" s="9" t="s">
        <v>380</v>
      </c>
      <c r="D5" s="10">
        <v>20088</v>
      </c>
      <c r="E5" s="11">
        <v>42598</v>
      </c>
      <c r="F5" s="12">
        <v>1</v>
      </c>
    </row>
    <row r="6" spans="1:6" ht="36" x14ac:dyDescent="0.35">
      <c r="A6" s="8">
        <v>5</v>
      </c>
      <c r="B6" s="8">
        <v>532166811</v>
      </c>
      <c r="C6" s="9" t="s">
        <v>381</v>
      </c>
      <c r="D6" s="10">
        <v>3637</v>
      </c>
      <c r="E6" s="11"/>
      <c r="F6" s="12">
        <v>1</v>
      </c>
    </row>
    <row r="7" spans="1:6" ht="18" x14ac:dyDescent="0.4">
      <c r="A7" s="2"/>
      <c r="B7" s="33" t="s">
        <v>394</v>
      </c>
      <c r="C7" s="34"/>
      <c r="D7" s="13">
        <f>SUM(D2:D6)</f>
        <v>86400</v>
      </c>
      <c r="E7" s="35"/>
      <c r="F7" s="35"/>
    </row>
    <row r="8" spans="1:6" x14ac:dyDescent="0.35">
      <c r="D8" s="1">
        <f>SUM(D2:D6)</f>
        <v>86400</v>
      </c>
    </row>
  </sheetData>
  <mergeCells count="1">
    <mergeCell ref="B7:C7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Dropdown</vt:lpstr>
      <vt:lpstr>List</vt:lpstr>
      <vt:lpstr>List14</vt:lpstr>
      <vt:lpstr>List13</vt:lpstr>
      <vt:lpstr>List12</vt:lpstr>
      <vt:lpstr>List10</vt:lpstr>
      <vt:lpstr>List9</vt:lpstr>
      <vt:lpstr>List11</vt:lpstr>
      <vt:lpstr>List7</vt:lpstr>
      <vt:lpstr>List8</vt:lpstr>
      <vt:lpstr>List5</vt:lpstr>
      <vt:lpstr>List6</vt:lpstr>
      <vt:lpstr>List4</vt:lpstr>
      <vt:lpstr>List3</vt:lpstr>
      <vt:lpstr>List2</vt:lpstr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Apinut Kaewmunee</cp:lastModifiedBy>
  <dcterms:created xsi:type="dcterms:W3CDTF">2015-06-05T18:17:20Z</dcterms:created>
  <dcterms:modified xsi:type="dcterms:W3CDTF">2024-09-13T06:25:13Z</dcterms:modified>
</cp:coreProperties>
</file>